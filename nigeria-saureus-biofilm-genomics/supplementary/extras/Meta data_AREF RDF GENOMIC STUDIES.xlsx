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la\OneDrive\Desktop\Saureus Ale Leeds\"/>
    </mc:Choice>
  </mc:AlternateContent>
  <xr:revisionPtr revIDLastSave="0" documentId="8_{3B92EEF6-12DB-47E7-98F4-A5B069AE77B5}" xr6:coauthVersionLast="47" xr6:coauthVersionMax="47" xr10:uidLastSave="{00000000-0000-0000-0000-000000000000}"/>
  <bookViews>
    <workbookView xWindow="-108" yWindow="-108" windowWidth="23256" windowHeight="12456" xr2:uid="{5E7B77DA-430A-475D-9C07-D95C1DA73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8" i="1" l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4" i="1"/>
  <c r="F3" i="1"/>
  <c r="G2" i="1"/>
  <c r="F2" i="1"/>
</calcChain>
</file>

<file path=xl/sharedStrings.xml><?xml version="1.0" encoding="utf-8"?>
<sst xmlns="http://schemas.openxmlformats.org/spreadsheetml/2006/main" count="762" uniqueCount="250">
  <si>
    <t>Storage No</t>
  </si>
  <si>
    <t>ID</t>
  </si>
  <si>
    <t>UK NUMBER</t>
  </si>
  <si>
    <t>DATE</t>
  </si>
  <si>
    <t>Month analysis</t>
  </si>
  <si>
    <t>week</t>
  </si>
  <si>
    <t>LAB HOSPITALNO</t>
  </si>
  <si>
    <t>SAMPLE</t>
  </si>
  <si>
    <t>DIAGNOSIS</t>
  </si>
  <si>
    <t>AGE in years</t>
  </si>
  <si>
    <t>SEX</t>
  </si>
  <si>
    <t>T248</t>
  </si>
  <si>
    <t>U1</t>
  </si>
  <si>
    <t>Igbobi</t>
  </si>
  <si>
    <t>wound swab/pus</t>
  </si>
  <si>
    <t>Wound infection</t>
  </si>
  <si>
    <t>Male</t>
  </si>
  <si>
    <t>L322</t>
  </si>
  <si>
    <t>U2</t>
  </si>
  <si>
    <t>LUTH</t>
  </si>
  <si>
    <t>IK17</t>
  </si>
  <si>
    <t>U3</t>
  </si>
  <si>
    <t>IKEJA</t>
  </si>
  <si>
    <t>aspirate/Ulcer/abscess</t>
  </si>
  <si>
    <t>others</t>
  </si>
  <si>
    <t>T213</t>
  </si>
  <si>
    <t>U4</t>
  </si>
  <si>
    <t>L133</t>
  </si>
  <si>
    <t>U5</t>
  </si>
  <si>
    <t>T245</t>
  </si>
  <si>
    <t>U6</t>
  </si>
  <si>
    <t>L113</t>
  </si>
  <si>
    <t>U7</t>
  </si>
  <si>
    <t>eye discharge</t>
  </si>
  <si>
    <t>T246</t>
  </si>
  <si>
    <t>U8</t>
  </si>
  <si>
    <t>T200</t>
  </si>
  <si>
    <t>U9</t>
  </si>
  <si>
    <t>t228</t>
  </si>
  <si>
    <t>U10</t>
  </si>
  <si>
    <t>IK30</t>
  </si>
  <si>
    <t>U11</t>
  </si>
  <si>
    <t>T37</t>
  </si>
  <si>
    <t>U12</t>
  </si>
  <si>
    <t>urine/catether tip</t>
  </si>
  <si>
    <t>IK29</t>
  </si>
  <si>
    <t>U13</t>
  </si>
  <si>
    <t>L110</t>
  </si>
  <si>
    <t>U14</t>
  </si>
  <si>
    <t>Blood culture</t>
  </si>
  <si>
    <t>blood</t>
  </si>
  <si>
    <t>L143</t>
  </si>
  <si>
    <t>U15</t>
  </si>
  <si>
    <t>Female</t>
  </si>
  <si>
    <t>IK89</t>
  </si>
  <si>
    <t>U16</t>
  </si>
  <si>
    <t>IK85</t>
  </si>
  <si>
    <t>U17</t>
  </si>
  <si>
    <t>T231</t>
  </si>
  <si>
    <t>U18</t>
  </si>
  <si>
    <t>L232</t>
  </si>
  <si>
    <t>U19</t>
  </si>
  <si>
    <t>Sepsis</t>
  </si>
  <si>
    <t>L321</t>
  </si>
  <si>
    <t>U20</t>
  </si>
  <si>
    <t>Trachea/sputum</t>
  </si>
  <si>
    <t>L109</t>
  </si>
  <si>
    <t>U21</t>
  </si>
  <si>
    <t>L291</t>
  </si>
  <si>
    <t>U22</t>
  </si>
  <si>
    <t>L235</t>
  </si>
  <si>
    <t>U23</t>
  </si>
  <si>
    <t>L60</t>
  </si>
  <si>
    <t>U24</t>
  </si>
  <si>
    <t>T236</t>
  </si>
  <si>
    <t>U25</t>
  </si>
  <si>
    <t>L318</t>
  </si>
  <si>
    <t>U26</t>
  </si>
  <si>
    <t>L77</t>
  </si>
  <si>
    <t>U27</t>
  </si>
  <si>
    <t>earswab</t>
  </si>
  <si>
    <t>IK37</t>
  </si>
  <si>
    <t>U28</t>
  </si>
  <si>
    <t>L224</t>
  </si>
  <si>
    <t>U29</t>
  </si>
  <si>
    <t>IK53</t>
  </si>
  <si>
    <t>U30</t>
  </si>
  <si>
    <t>L101</t>
  </si>
  <si>
    <t>U31</t>
  </si>
  <si>
    <t>T171</t>
  </si>
  <si>
    <t>U32</t>
  </si>
  <si>
    <t>urine</t>
  </si>
  <si>
    <t>T187</t>
  </si>
  <si>
    <t>U33</t>
  </si>
  <si>
    <t>IK21</t>
  </si>
  <si>
    <t>U34</t>
  </si>
  <si>
    <t>HVS/ECS</t>
  </si>
  <si>
    <t>genitals</t>
  </si>
  <si>
    <t>T295</t>
  </si>
  <si>
    <t>U35</t>
  </si>
  <si>
    <t>L01</t>
  </si>
  <si>
    <t>U36</t>
  </si>
  <si>
    <t>IK50</t>
  </si>
  <si>
    <t>U37</t>
  </si>
  <si>
    <t>T36</t>
  </si>
  <si>
    <t>U38</t>
  </si>
  <si>
    <t>T224</t>
  </si>
  <si>
    <t>U39</t>
  </si>
  <si>
    <t>IK63</t>
  </si>
  <si>
    <t>U40</t>
  </si>
  <si>
    <t>IK69</t>
  </si>
  <si>
    <t>U41</t>
  </si>
  <si>
    <t>IK106</t>
  </si>
  <si>
    <t>U42</t>
  </si>
  <si>
    <t>IK55</t>
  </si>
  <si>
    <t>U43</t>
  </si>
  <si>
    <t>IK116</t>
  </si>
  <si>
    <t>U44</t>
  </si>
  <si>
    <t>T178</t>
  </si>
  <si>
    <t>U45</t>
  </si>
  <si>
    <t>wound infection</t>
  </si>
  <si>
    <t>T168</t>
  </si>
  <si>
    <t>U46</t>
  </si>
  <si>
    <t>L307</t>
  </si>
  <si>
    <t>U47</t>
  </si>
  <si>
    <t>T269</t>
  </si>
  <si>
    <t>U48</t>
  </si>
  <si>
    <t>T220</t>
  </si>
  <si>
    <t>U49</t>
  </si>
  <si>
    <t>L129</t>
  </si>
  <si>
    <t>U50</t>
  </si>
  <si>
    <t>L333</t>
  </si>
  <si>
    <t>U51</t>
  </si>
  <si>
    <t>T181</t>
  </si>
  <si>
    <t>U52</t>
  </si>
  <si>
    <t>L378</t>
  </si>
  <si>
    <t>U53</t>
  </si>
  <si>
    <t>IK54</t>
  </si>
  <si>
    <t>U54</t>
  </si>
  <si>
    <t>L122</t>
  </si>
  <si>
    <t>U55</t>
  </si>
  <si>
    <t>IK119</t>
  </si>
  <si>
    <t>U56</t>
  </si>
  <si>
    <t>IK84</t>
  </si>
  <si>
    <t>U57</t>
  </si>
  <si>
    <t>T179</t>
  </si>
  <si>
    <t>U58</t>
  </si>
  <si>
    <t>T283</t>
  </si>
  <si>
    <t>U59</t>
  </si>
  <si>
    <t>T281</t>
  </si>
  <si>
    <t>U60</t>
  </si>
  <si>
    <t>L342</t>
  </si>
  <si>
    <t>U61</t>
  </si>
  <si>
    <t>L375</t>
  </si>
  <si>
    <t>U62</t>
  </si>
  <si>
    <t>L386</t>
  </si>
  <si>
    <t>U63</t>
  </si>
  <si>
    <t>U64</t>
  </si>
  <si>
    <t>STAPH</t>
  </si>
  <si>
    <t>T252</t>
  </si>
  <si>
    <t>U65</t>
  </si>
  <si>
    <t>T268</t>
  </si>
  <si>
    <t>U66</t>
  </si>
  <si>
    <t>T241</t>
  </si>
  <si>
    <t>U67</t>
  </si>
  <si>
    <t>T276</t>
  </si>
  <si>
    <t>U68</t>
  </si>
  <si>
    <t>IK10</t>
  </si>
  <si>
    <t>U69</t>
  </si>
  <si>
    <t>SPUTUM</t>
  </si>
  <si>
    <t>L142</t>
  </si>
  <si>
    <t>U70</t>
  </si>
  <si>
    <t>L144</t>
  </si>
  <si>
    <t>U71</t>
  </si>
  <si>
    <t>L308</t>
  </si>
  <si>
    <t>U72</t>
  </si>
  <si>
    <t>L309</t>
  </si>
  <si>
    <t>U73</t>
  </si>
  <si>
    <t>T239</t>
  </si>
  <si>
    <t>U74</t>
  </si>
  <si>
    <t>IK90</t>
  </si>
  <si>
    <t>U75</t>
  </si>
  <si>
    <t>IK117</t>
  </si>
  <si>
    <t>U76</t>
  </si>
  <si>
    <t>L325</t>
  </si>
  <si>
    <t>U77</t>
  </si>
  <si>
    <t>T183</t>
  </si>
  <si>
    <t>U78</t>
  </si>
  <si>
    <t>T275</t>
  </si>
  <si>
    <t>U79</t>
  </si>
  <si>
    <t>T285</t>
  </si>
  <si>
    <t>U80</t>
  </si>
  <si>
    <t>L188</t>
  </si>
  <si>
    <t>U81</t>
  </si>
  <si>
    <t>L227</t>
  </si>
  <si>
    <t>U82</t>
  </si>
  <si>
    <t>L306</t>
  </si>
  <si>
    <t>U83</t>
  </si>
  <si>
    <t>T286</t>
  </si>
  <si>
    <t>U84</t>
  </si>
  <si>
    <t>T85</t>
  </si>
  <si>
    <t>U85</t>
  </si>
  <si>
    <t>T279</t>
  </si>
  <si>
    <t>U86</t>
  </si>
  <si>
    <t>T290</t>
  </si>
  <si>
    <t>U87</t>
  </si>
  <si>
    <t>IK51</t>
  </si>
  <si>
    <t>U88</t>
  </si>
  <si>
    <t>T270</t>
  </si>
  <si>
    <t>U89</t>
  </si>
  <si>
    <t>ii-1</t>
  </si>
  <si>
    <t>T238</t>
  </si>
  <si>
    <t>U90</t>
  </si>
  <si>
    <t>T55</t>
  </si>
  <si>
    <t>U91</t>
  </si>
  <si>
    <t>L152</t>
  </si>
  <si>
    <t>U92</t>
  </si>
  <si>
    <t>IK93</t>
  </si>
  <si>
    <t>U93</t>
  </si>
  <si>
    <t>T91</t>
  </si>
  <si>
    <t>U94</t>
  </si>
  <si>
    <t>T28</t>
  </si>
  <si>
    <t>U95</t>
  </si>
  <si>
    <t>T234</t>
  </si>
  <si>
    <t>U96</t>
  </si>
  <si>
    <t>T182</t>
  </si>
  <si>
    <t>U97</t>
  </si>
  <si>
    <t>T185</t>
  </si>
  <si>
    <t>U98</t>
  </si>
  <si>
    <t>T226</t>
  </si>
  <si>
    <t>U99</t>
  </si>
  <si>
    <t>T60</t>
  </si>
  <si>
    <t>U100</t>
  </si>
  <si>
    <t>L130</t>
  </si>
  <si>
    <t>U101</t>
  </si>
  <si>
    <t>T251</t>
  </si>
  <si>
    <t>U102</t>
  </si>
  <si>
    <t>T291</t>
  </si>
  <si>
    <t>U103</t>
  </si>
  <si>
    <t>T284</t>
  </si>
  <si>
    <t>U104</t>
  </si>
  <si>
    <t>T273</t>
  </si>
  <si>
    <t>U105</t>
  </si>
  <si>
    <t>T6</t>
  </si>
  <si>
    <t>U106</t>
  </si>
  <si>
    <t>L320</t>
  </si>
  <si>
    <t>U107</t>
  </si>
  <si>
    <t>MALDI-TOF</t>
  </si>
  <si>
    <t>S.aureus</t>
  </si>
  <si>
    <t>isolate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</si>
</sst>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1" fillId="0" borderId="1" xfId="0" applyFont="1" applyBorder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65BF-67E1-4B8A-96F8-3725EAE9B82A}">
  <dimension ref="A1:M108"/>
  <sheetViews>
    <sheetView tabSelected="1" workbookViewId="0">
      <selection activeCell="J5" sqref="J5:J6"/>
    </sheetView>
  </sheetViews>
  <sheetFormatPr defaultRowHeight="14.4" x14ac:dyDescent="0.3"/>
  <cols>
    <col min="1" max="7" width="14.21875"/>
    <col min="8" max="8" width="21.33203125" customWidth="1"/>
    <col min="9" max="9" width="20.88671875" customWidth="1"/>
    <col min="10" max="10" width="17.44140625" customWidth="1"/>
    <col min="11" max="13" width="14.21875"/>
  </cols>
  <sheetData>
    <row r="1" spans="1:13" x14ac:dyDescent="0.3">
      <c r="A1" s="1" t="s">
        <v>0</v>
      </c>
      <c r="B1" s="1" t="s">
        <v>1</v>
      </c>
      <c r="C1" s="1" t="s">
        <v>2</v>
      </c>
      <c r="D1" t="s">
        <v>249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247</v>
      </c>
    </row>
    <row r="2" spans="1:13" x14ac:dyDescent="0.3">
      <c r="A2" s="1">
        <v>22</v>
      </c>
      <c r="B2" s="1" t="s">
        <v>11</v>
      </c>
      <c r="C2" s="1" t="s">
        <v>12</v>
      </c>
      <c r="D2" s="2">
        <v>1</v>
      </c>
      <c r="E2" s="3">
        <v>42886</v>
      </c>
      <c r="F2">
        <f>MONTH(E2)</f>
        <v>5</v>
      </c>
      <c r="G2">
        <f>WEEKNUM(E2)</f>
        <v>22</v>
      </c>
      <c r="H2" t="s">
        <v>13</v>
      </c>
      <c r="I2" t="s">
        <v>14</v>
      </c>
      <c r="J2" t="s">
        <v>15</v>
      </c>
      <c r="K2">
        <v>35</v>
      </c>
      <c r="L2" t="s">
        <v>16</v>
      </c>
      <c r="M2" t="s">
        <v>248</v>
      </c>
    </row>
    <row r="3" spans="1:13" x14ac:dyDescent="0.3">
      <c r="A3" s="1">
        <v>23</v>
      </c>
      <c r="B3" s="1" t="s">
        <v>17</v>
      </c>
      <c r="C3" s="1" t="s">
        <v>18</v>
      </c>
      <c r="D3">
        <v>2</v>
      </c>
      <c r="E3" s="3">
        <v>42886</v>
      </c>
      <c r="F3">
        <f t="shared" ref="F3:F66" si="0">MONTH(E3)</f>
        <v>5</v>
      </c>
      <c r="H3" t="s">
        <v>19</v>
      </c>
      <c r="I3" t="s">
        <v>14</v>
      </c>
      <c r="J3" t="s">
        <v>15</v>
      </c>
      <c r="K3">
        <v>87</v>
      </c>
      <c r="L3" t="s">
        <v>16</v>
      </c>
      <c r="M3" t="s">
        <v>248</v>
      </c>
    </row>
    <row r="4" spans="1:13" x14ac:dyDescent="0.3">
      <c r="A4" s="1">
        <v>24</v>
      </c>
      <c r="B4" s="1" t="s">
        <v>20</v>
      </c>
      <c r="C4" s="1" t="s">
        <v>21</v>
      </c>
      <c r="D4">
        <v>3</v>
      </c>
      <c r="E4" s="3">
        <v>42807</v>
      </c>
      <c r="F4">
        <f t="shared" si="0"/>
        <v>3</v>
      </c>
      <c r="H4" t="s">
        <v>22</v>
      </c>
      <c r="I4" t="s">
        <v>23</v>
      </c>
      <c r="J4" t="s">
        <v>24</v>
      </c>
      <c r="K4">
        <v>61</v>
      </c>
      <c r="L4" t="s">
        <v>16</v>
      </c>
      <c r="M4" t="s">
        <v>248</v>
      </c>
    </row>
    <row r="5" spans="1:13" x14ac:dyDescent="0.3">
      <c r="A5" s="1">
        <v>25</v>
      </c>
      <c r="B5" s="1" t="s">
        <v>25</v>
      </c>
      <c r="C5" s="1" t="s">
        <v>26</v>
      </c>
      <c r="D5">
        <v>4</v>
      </c>
      <c r="E5" s="3">
        <v>43074</v>
      </c>
      <c r="F5">
        <f t="shared" si="0"/>
        <v>12</v>
      </c>
      <c r="H5" t="s">
        <v>13</v>
      </c>
      <c r="I5" t="s">
        <v>14</v>
      </c>
      <c r="J5" t="s">
        <v>15</v>
      </c>
      <c r="K5">
        <v>35</v>
      </c>
      <c r="L5" t="s">
        <v>16</v>
      </c>
      <c r="M5" t="s">
        <v>248</v>
      </c>
    </row>
    <row r="6" spans="1:13" x14ac:dyDescent="0.3">
      <c r="A6" s="1">
        <v>9</v>
      </c>
      <c r="B6" s="1" t="s">
        <v>27</v>
      </c>
      <c r="C6" s="1" t="s">
        <v>28</v>
      </c>
      <c r="D6">
        <v>5</v>
      </c>
      <c r="E6" s="3">
        <v>42771</v>
      </c>
      <c r="F6">
        <v>0</v>
      </c>
      <c r="H6" t="s">
        <v>19</v>
      </c>
      <c r="I6" t="s">
        <v>14</v>
      </c>
      <c r="J6" t="s">
        <v>15</v>
      </c>
      <c r="K6">
        <v>35</v>
      </c>
      <c r="L6" t="s">
        <v>16</v>
      </c>
      <c r="M6" t="s">
        <v>248</v>
      </c>
    </row>
    <row r="7" spans="1:13" x14ac:dyDescent="0.3">
      <c r="A7" s="1">
        <v>12</v>
      </c>
      <c r="B7" s="1" t="s">
        <v>29</v>
      </c>
      <c r="C7" s="1" t="s">
        <v>30</v>
      </c>
      <c r="D7">
        <v>6</v>
      </c>
      <c r="E7" s="3">
        <v>42886</v>
      </c>
      <c r="F7">
        <f t="shared" si="0"/>
        <v>5</v>
      </c>
      <c r="H7" t="s">
        <v>13</v>
      </c>
      <c r="I7" t="s">
        <v>14</v>
      </c>
      <c r="J7" t="s">
        <v>15</v>
      </c>
      <c r="K7">
        <v>35</v>
      </c>
      <c r="L7" t="s">
        <v>16</v>
      </c>
      <c r="M7" t="s">
        <v>248</v>
      </c>
    </row>
    <row r="8" spans="1:13" x14ac:dyDescent="0.3">
      <c r="A8" s="1">
        <v>13</v>
      </c>
      <c r="B8" s="1" t="s">
        <v>31</v>
      </c>
      <c r="C8" s="1" t="s">
        <v>32</v>
      </c>
      <c r="D8">
        <v>7</v>
      </c>
      <c r="E8" s="3">
        <v>42859</v>
      </c>
      <c r="F8">
        <f t="shared" si="0"/>
        <v>5</v>
      </c>
      <c r="H8" t="s">
        <v>19</v>
      </c>
      <c r="I8" t="s">
        <v>33</v>
      </c>
      <c r="J8" t="s">
        <v>24</v>
      </c>
      <c r="K8">
        <v>9.6000000000000002E-2</v>
      </c>
      <c r="L8" t="s">
        <v>16</v>
      </c>
      <c r="M8" t="s">
        <v>248</v>
      </c>
    </row>
    <row r="9" spans="1:13" x14ac:dyDescent="0.3">
      <c r="A9" s="4">
        <v>14</v>
      </c>
      <c r="B9" s="4" t="s">
        <v>34</v>
      </c>
      <c r="C9" s="4" t="s">
        <v>35</v>
      </c>
      <c r="D9" s="5">
        <v>8</v>
      </c>
      <c r="E9" s="6">
        <v>42886</v>
      </c>
      <c r="F9" s="5">
        <f t="shared" si="0"/>
        <v>5</v>
      </c>
      <c r="G9" s="5"/>
      <c r="H9" s="5" t="s">
        <v>13</v>
      </c>
      <c r="I9" s="5" t="s">
        <v>14</v>
      </c>
      <c r="J9" s="5" t="s">
        <v>15</v>
      </c>
      <c r="K9" s="5">
        <v>70</v>
      </c>
      <c r="L9" s="5" t="s">
        <v>16</v>
      </c>
      <c r="M9" s="5" t="s">
        <v>248</v>
      </c>
    </row>
    <row r="10" spans="1:13" x14ac:dyDescent="0.3">
      <c r="A10" s="7">
        <v>15</v>
      </c>
      <c r="B10" s="7" t="s">
        <v>36</v>
      </c>
      <c r="C10" s="7" t="s">
        <v>37</v>
      </c>
      <c r="D10" s="8">
        <v>9</v>
      </c>
      <c r="E10" s="9">
        <v>43013</v>
      </c>
      <c r="F10" s="8">
        <f t="shared" si="0"/>
        <v>10</v>
      </c>
      <c r="G10" s="8"/>
      <c r="H10" s="8" t="s">
        <v>13</v>
      </c>
      <c r="I10" s="8" t="s">
        <v>14</v>
      </c>
      <c r="J10" s="8" t="s">
        <v>15</v>
      </c>
      <c r="K10" s="8">
        <v>24</v>
      </c>
      <c r="L10" s="8" t="s">
        <v>16</v>
      </c>
      <c r="M10" s="8" t="s">
        <v>248</v>
      </c>
    </row>
    <row r="11" spans="1:13" x14ac:dyDescent="0.3">
      <c r="A11" s="1">
        <v>21</v>
      </c>
      <c r="B11" s="1" t="s">
        <v>38</v>
      </c>
      <c r="C11" s="1" t="s">
        <v>39</v>
      </c>
      <c r="D11">
        <v>10</v>
      </c>
      <c r="E11" s="3">
        <v>42879</v>
      </c>
      <c r="F11">
        <f t="shared" si="0"/>
        <v>5</v>
      </c>
      <c r="H11" t="s">
        <v>13</v>
      </c>
      <c r="I11" t="s">
        <v>14</v>
      </c>
      <c r="J11" t="s">
        <v>15</v>
      </c>
      <c r="K11">
        <v>15</v>
      </c>
      <c r="L11" t="s">
        <v>16</v>
      </c>
      <c r="M11" t="s">
        <v>248</v>
      </c>
    </row>
    <row r="12" spans="1:13" x14ac:dyDescent="0.3">
      <c r="A12" s="1">
        <v>29</v>
      </c>
      <c r="B12" s="1" t="s">
        <v>40</v>
      </c>
      <c r="C12" s="1" t="s">
        <v>41</v>
      </c>
      <c r="D12">
        <v>11</v>
      </c>
      <c r="E12" s="3">
        <v>42814</v>
      </c>
      <c r="F12">
        <f t="shared" si="0"/>
        <v>3</v>
      </c>
      <c r="H12" t="s">
        <v>22</v>
      </c>
      <c r="I12" t="s">
        <v>14</v>
      </c>
      <c r="J12" t="s">
        <v>15</v>
      </c>
      <c r="K12">
        <v>54</v>
      </c>
      <c r="L12" t="s">
        <v>16</v>
      </c>
      <c r="M12" t="s">
        <v>248</v>
      </c>
    </row>
    <row r="13" spans="1:13" x14ac:dyDescent="0.3">
      <c r="A13" s="1">
        <v>30</v>
      </c>
      <c r="B13" s="1" t="s">
        <v>42</v>
      </c>
      <c r="C13" s="1" t="s">
        <v>43</v>
      </c>
      <c r="D13">
        <v>12</v>
      </c>
      <c r="E13" s="3">
        <v>42919</v>
      </c>
      <c r="F13">
        <f t="shared" si="0"/>
        <v>7</v>
      </c>
      <c r="H13" t="s">
        <v>13</v>
      </c>
      <c r="I13" t="s">
        <v>44</v>
      </c>
      <c r="J13" t="s">
        <v>24</v>
      </c>
      <c r="K13">
        <v>35</v>
      </c>
      <c r="L13" t="s">
        <v>16</v>
      </c>
      <c r="M13" t="s">
        <v>248</v>
      </c>
    </row>
    <row r="14" spans="1:13" x14ac:dyDescent="0.3">
      <c r="A14" s="1">
        <v>11</v>
      </c>
      <c r="B14" s="1" t="s">
        <v>45</v>
      </c>
      <c r="C14" s="1" t="s">
        <v>46</v>
      </c>
      <c r="D14">
        <v>13</v>
      </c>
      <c r="E14" s="3">
        <v>42814</v>
      </c>
      <c r="F14">
        <f t="shared" si="0"/>
        <v>3</v>
      </c>
      <c r="H14" t="s">
        <v>22</v>
      </c>
      <c r="I14" t="s">
        <v>14</v>
      </c>
      <c r="J14" t="s">
        <v>15</v>
      </c>
      <c r="K14">
        <v>14</v>
      </c>
      <c r="L14" t="s">
        <v>16</v>
      </c>
      <c r="M14" t="s">
        <v>248</v>
      </c>
    </row>
    <row r="15" spans="1:13" x14ac:dyDescent="0.3">
      <c r="A15" s="1">
        <v>10</v>
      </c>
      <c r="B15" s="1" t="s">
        <v>47</v>
      </c>
      <c r="C15" s="1" t="s">
        <v>48</v>
      </c>
      <c r="D15">
        <v>14</v>
      </c>
      <c r="E15" s="3">
        <v>42859</v>
      </c>
      <c r="F15">
        <f t="shared" si="0"/>
        <v>5</v>
      </c>
      <c r="H15" t="s">
        <v>19</v>
      </c>
      <c r="I15" t="s">
        <v>49</v>
      </c>
      <c r="J15" t="s">
        <v>50</v>
      </c>
      <c r="K15">
        <v>0.12</v>
      </c>
      <c r="L15" t="s">
        <v>16</v>
      </c>
      <c r="M15" t="s">
        <v>248</v>
      </c>
    </row>
    <row r="16" spans="1:13" x14ac:dyDescent="0.3">
      <c r="A16" s="1">
        <v>44</v>
      </c>
      <c r="B16" s="1" t="s">
        <v>51</v>
      </c>
      <c r="C16" s="1" t="s">
        <v>52</v>
      </c>
      <c r="D16">
        <v>15</v>
      </c>
      <c r="E16" s="3">
        <v>42843</v>
      </c>
      <c r="F16">
        <f t="shared" si="0"/>
        <v>4</v>
      </c>
      <c r="H16" t="s">
        <v>19</v>
      </c>
      <c r="I16" t="s">
        <v>49</v>
      </c>
      <c r="J16" t="s">
        <v>50</v>
      </c>
      <c r="K16">
        <v>1.6E-2</v>
      </c>
      <c r="L16" t="s">
        <v>53</v>
      </c>
      <c r="M16" t="s">
        <v>248</v>
      </c>
    </row>
    <row r="17" spans="1:13" x14ac:dyDescent="0.3">
      <c r="A17" s="1">
        <v>56</v>
      </c>
      <c r="B17" s="1" t="s">
        <v>54</v>
      </c>
      <c r="C17" s="1" t="s">
        <v>55</v>
      </c>
      <c r="D17">
        <v>16</v>
      </c>
      <c r="E17" s="3">
        <v>43074</v>
      </c>
      <c r="F17">
        <f t="shared" si="0"/>
        <v>12</v>
      </c>
      <c r="H17" t="s">
        <v>22</v>
      </c>
      <c r="I17" t="s">
        <v>14</v>
      </c>
      <c r="J17" t="s">
        <v>15</v>
      </c>
      <c r="K17">
        <v>11</v>
      </c>
      <c r="L17" t="s">
        <v>53</v>
      </c>
      <c r="M17" t="s">
        <v>248</v>
      </c>
    </row>
    <row r="18" spans="1:13" x14ac:dyDescent="0.3">
      <c r="A18" s="1">
        <v>55</v>
      </c>
      <c r="B18" s="1" t="s">
        <v>56</v>
      </c>
      <c r="C18" s="1" t="s">
        <v>57</v>
      </c>
      <c r="D18">
        <v>17</v>
      </c>
      <c r="E18" s="3">
        <v>43074</v>
      </c>
      <c r="F18">
        <f t="shared" si="0"/>
        <v>12</v>
      </c>
      <c r="H18" t="s">
        <v>22</v>
      </c>
      <c r="I18" t="s">
        <v>14</v>
      </c>
      <c r="J18" t="s">
        <v>15</v>
      </c>
      <c r="K18">
        <v>54</v>
      </c>
      <c r="L18" t="s">
        <v>16</v>
      </c>
      <c r="M18" t="s">
        <v>248</v>
      </c>
    </row>
    <row r="19" spans="1:13" x14ac:dyDescent="0.3">
      <c r="A19" s="1">
        <v>49</v>
      </c>
      <c r="B19" s="1" t="s">
        <v>58</v>
      </c>
      <c r="C19" s="1" t="s">
        <v>59</v>
      </c>
      <c r="D19">
        <v>18</v>
      </c>
      <c r="E19" s="3">
        <v>42873</v>
      </c>
      <c r="F19">
        <f t="shared" si="0"/>
        <v>5</v>
      </c>
      <c r="H19" t="s">
        <v>13</v>
      </c>
      <c r="I19" t="s">
        <v>14</v>
      </c>
      <c r="J19" t="s">
        <v>15</v>
      </c>
      <c r="K19">
        <v>1</v>
      </c>
      <c r="L19" t="s">
        <v>16</v>
      </c>
      <c r="M19" t="s">
        <v>248</v>
      </c>
    </row>
    <row r="20" spans="1:13" x14ac:dyDescent="0.3">
      <c r="A20" s="1">
        <v>5</v>
      </c>
      <c r="B20" s="1" t="s">
        <v>60</v>
      </c>
      <c r="C20" s="1" t="s">
        <v>61</v>
      </c>
      <c r="D20">
        <v>19</v>
      </c>
      <c r="E20" s="3">
        <v>42830</v>
      </c>
      <c r="F20">
        <f t="shared" si="0"/>
        <v>4</v>
      </c>
      <c r="H20" t="s">
        <v>19</v>
      </c>
      <c r="I20" t="s">
        <v>49</v>
      </c>
      <c r="J20" t="s">
        <v>62</v>
      </c>
      <c r="K20">
        <v>25</v>
      </c>
      <c r="L20" t="s">
        <v>16</v>
      </c>
      <c r="M20" t="s">
        <v>248</v>
      </c>
    </row>
    <row r="21" spans="1:13" x14ac:dyDescent="0.3">
      <c r="A21" s="1">
        <v>6</v>
      </c>
      <c r="B21" s="1" t="s">
        <v>63</v>
      </c>
      <c r="C21" s="1" t="s">
        <v>64</v>
      </c>
      <c r="D21">
        <v>20</v>
      </c>
      <c r="E21" s="3">
        <v>42886</v>
      </c>
      <c r="F21">
        <f t="shared" si="0"/>
        <v>5</v>
      </c>
      <c r="H21" t="s">
        <v>19</v>
      </c>
      <c r="I21" t="s">
        <v>65</v>
      </c>
      <c r="J21" t="s">
        <v>24</v>
      </c>
      <c r="K21">
        <v>42</v>
      </c>
      <c r="L21" t="s">
        <v>16</v>
      </c>
      <c r="M21" t="s">
        <v>248</v>
      </c>
    </row>
    <row r="22" spans="1:13" x14ac:dyDescent="0.3">
      <c r="A22" s="1">
        <v>1</v>
      </c>
      <c r="B22" s="1" t="s">
        <v>66</v>
      </c>
      <c r="C22" s="1" t="s">
        <v>67</v>
      </c>
      <c r="D22">
        <v>21</v>
      </c>
      <c r="E22" s="3">
        <v>42859</v>
      </c>
      <c r="F22">
        <f t="shared" si="0"/>
        <v>5</v>
      </c>
      <c r="H22" t="s">
        <v>19</v>
      </c>
      <c r="I22" t="s">
        <v>49</v>
      </c>
      <c r="J22" t="s">
        <v>62</v>
      </c>
      <c r="K22">
        <v>41</v>
      </c>
      <c r="L22" t="s">
        <v>16</v>
      </c>
      <c r="M22" t="s">
        <v>248</v>
      </c>
    </row>
    <row r="23" spans="1:13" x14ac:dyDescent="0.3">
      <c r="A23" s="1">
        <v>2</v>
      </c>
      <c r="B23" s="1" t="s">
        <v>68</v>
      </c>
      <c r="C23" s="1" t="s">
        <v>69</v>
      </c>
      <c r="D23">
        <v>22</v>
      </c>
      <c r="E23" s="3">
        <v>42830</v>
      </c>
      <c r="F23">
        <f t="shared" si="0"/>
        <v>4</v>
      </c>
      <c r="H23" t="s">
        <v>19</v>
      </c>
      <c r="I23" t="s">
        <v>14</v>
      </c>
      <c r="J23" t="s">
        <v>15</v>
      </c>
      <c r="K23">
        <v>32</v>
      </c>
      <c r="L23" t="s">
        <v>53</v>
      </c>
      <c r="M23" t="s">
        <v>248</v>
      </c>
    </row>
    <row r="24" spans="1:13" x14ac:dyDescent="0.3">
      <c r="A24" s="1">
        <v>3</v>
      </c>
      <c r="B24" s="1" t="s">
        <v>70</v>
      </c>
      <c r="C24" s="1" t="s">
        <v>71</v>
      </c>
      <c r="D24">
        <v>23</v>
      </c>
      <c r="E24" s="3">
        <v>42771</v>
      </c>
      <c r="F24">
        <f t="shared" si="0"/>
        <v>2</v>
      </c>
      <c r="H24" t="s">
        <v>19</v>
      </c>
      <c r="I24" t="s">
        <v>49</v>
      </c>
      <c r="J24" t="s">
        <v>62</v>
      </c>
      <c r="K24">
        <v>15</v>
      </c>
      <c r="L24" t="s">
        <v>16</v>
      </c>
      <c r="M24" t="s">
        <v>248</v>
      </c>
    </row>
    <row r="25" spans="1:13" x14ac:dyDescent="0.3">
      <c r="A25" s="1">
        <v>16</v>
      </c>
      <c r="B25" s="1" t="s">
        <v>72</v>
      </c>
      <c r="C25" s="1" t="s">
        <v>73</v>
      </c>
      <c r="D25">
        <v>24</v>
      </c>
      <c r="E25" s="3">
        <v>42810</v>
      </c>
      <c r="F25">
        <f t="shared" si="0"/>
        <v>3</v>
      </c>
      <c r="H25" t="s">
        <v>19</v>
      </c>
      <c r="I25" t="s">
        <v>14</v>
      </c>
      <c r="J25" t="s">
        <v>15</v>
      </c>
      <c r="K25">
        <v>17</v>
      </c>
      <c r="L25" t="s">
        <v>53</v>
      </c>
      <c r="M25" t="s">
        <v>248</v>
      </c>
    </row>
    <row r="26" spans="1:13" x14ac:dyDescent="0.3">
      <c r="A26" s="1">
        <v>17</v>
      </c>
      <c r="B26" s="1" t="s">
        <v>74</v>
      </c>
      <c r="C26" s="1" t="s">
        <v>75</v>
      </c>
      <c r="D26">
        <v>25</v>
      </c>
      <c r="E26" s="3">
        <v>42879</v>
      </c>
      <c r="F26">
        <f t="shared" si="0"/>
        <v>5</v>
      </c>
      <c r="H26" t="s">
        <v>13</v>
      </c>
      <c r="I26" t="s">
        <v>23</v>
      </c>
      <c r="J26" t="s">
        <v>24</v>
      </c>
      <c r="K26">
        <v>34</v>
      </c>
      <c r="L26" t="s">
        <v>53</v>
      </c>
      <c r="M26" t="s">
        <v>248</v>
      </c>
    </row>
    <row r="27" spans="1:13" x14ac:dyDescent="0.3">
      <c r="A27" s="1">
        <v>18</v>
      </c>
      <c r="B27" s="1" t="s">
        <v>76</v>
      </c>
      <c r="C27" s="1" t="s">
        <v>77</v>
      </c>
      <c r="D27">
        <v>26</v>
      </c>
      <c r="E27" s="3">
        <v>42879</v>
      </c>
      <c r="F27">
        <f t="shared" si="0"/>
        <v>5</v>
      </c>
      <c r="H27" t="s">
        <v>19</v>
      </c>
      <c r="I27" t="s">
        <v>14</v>
      </c>
      <c r="J27" t="s">
        <v>15</v>
      </c>
      <c r="K27">
        <v>28</v>
      </c>
      <c r="L27" t="s">
        <v>16</v>
      </c>
      <c r="M27" t="s">
        <v>248</v>
      </c>
    </row>
    <row r="28" spans="1:13" x14ac:dyDescent="0.3">
      <c r="A28" s="1">
        <v>19</v>
      </c>
      <c r="B28" s="1" t="s">
        <v>78</v>
      </c>
      <c r="C28" s="1" t="s">
        <v>79</v>
      </c>
      <c r="D28">
        <v>27</v>
      </c>
      <c r="E28" s="3">
        <v>42822</v>
      </c>
      <c r="F28">
        <f t="shared" si="0"/>
        <v>3</v>
      </c>
      <c r="H28" t="s">
        <v>19</v>
      </c>
      <c r="I28" t="s">
        <v>80</v>
      </c>
      <c r="J28" t="s">
        <v>24</v>
      </c>
      <c r="K28">
        <v>80</v>
      </c>
      <c r="L28" t="s">
        <v>53</v>
      </c>
      <c r="M28" t="s">
        <v>248</v>
      </c>
    </row>
    <row r="29" spans="1:13" x14ac:dyDescent="0.3">
      <c r="A29" s="1">
        <v>20</v>
      </c>
      <c r="B29" s="1" t="s">
        <v>81</v>
      </c>
      <c r="C29" s="1" t="s">
        <v>82</v>
      </c>
      <c r="D29">
        <v>28</v>
      </c>
      <c r="E29" s="3">
        <v>42817</v>
      </c>
      <c r="F29">
        <f t="shared" si="0"/>
        <v>3</v>
      </c>
      <c r="H29" t="s">
        <v>22</v>
      </c>
      <c r="I29" t="s">
        <v>80</v>
      </c>
      <c r="J29" t="s">
        <v>24</v>
      </c>
      <c r="K29">
        <v>6</v>
      </c>
      <c r="L29" t="s">
        <v>16</v>
      </c>
      <c r="M29" t="s">
        <v>248</v>
      </c>
    </row>
    <row r="30" spans="1:13" x14ac:dyDescent="0.3">
      <c r="A30" s="1">
        <v>28</v>
      </c>
      <c r="B30" s="1" t="s">
        <v>83</v>
      </c>
      <c r="C30" s="1" t="s">
        <v>84</v>
      </c>
      <c r="D30">
        <v>29</v>
      </c>
      <c r="E30" s="3">
        <v>42873</v>
      </c>
      <c r="F30">
        <f t="shared" si="0"/>
        <v>5</v>
      </c>
      <c r="H30" t="s">
        <v>13</v>
      </c>
      <c r="I30" t="s">
        <v>14</v>
      </c>
      <c r="J30" t="s">
        <v>15</v>
      </c>
      <c r="K30">
        <v>9</v>
      </c>
      <c r="L30" t="s">
        <v>53</v>
      </c>
      <c r="M30" t="s">
        <v>248</v>
      </c>
    </row>
    <row r="31" spans="1:13" x14ac:dyDescent="0.3">
      <c r="A31" s="1">
        <v>51</v>
      </c>
      <c r="B31" s="1" t="s">
        <v>85</v>
      </c>
      <c r="C31" s="1" t="s">
        <v>86</v>
      </c>
      <c r="D31">
        <v>30</v>
      </c>
      <c r="E31" s="3">
        <v>43043</v>
      </c>
      <c r="F31">
        <f t="shared" si="0"/>
        <v>11</v>
      </c>
      <c r="H31" t="s">
        <v>22</v>
      </c>
      <c r="I31" t="s">
        <v>14</v>
      </c>
      <c r="J31" t="s">
        <v>15</v>
      </c>
      <c r="K31">
        <v>10</v>
      </c>
      <c r="L31" t="s">
        <v>53</v>
      </c>
      <c r="M31" t="s">
        <v>248</v>
      </c>
    </row>
    <row r="32" spans="1:13" x14ac:dyDescent="0.3">
      <c r="A32" s="1">
        <v>7</v>
      </c>
      <c r="B32" s="1" t="s">
        <v>87</v>
      </c>
      <c r="C32" s="1" t="s">
        <v>88</v>
      </c>
      <c r="D32">
        <v>31</v>
      </c>
      <c r="E32" s="3">
        <v>42824</v>
      </c>
      <c r="F32">
        <f t="shared" si="0"/>
        <v>3</v>
      </c>
      <c r="H32" t="s">
        <v>19</v>
      </c>
      <c r="I32" t="s">
        <v>14</v>
      </c>
      <c r="J32" t="s">
        <v>24</v>
      </c>
      <c r="K32">
        <v>45</v>
      </c>
      <c r="L32" t="s">
        <v>16</v>
      </c>
      <c r="M32" t="s">
        <v>248</v>
      </c>
    </row>
    <row r="33" spans="1:13" x14ac:dyDescent="0.3">
      <c r="A33" s="1">
        <v>8</v>
      </c>
      <c r="B33" s="1" t="s">
        <v>89</v>
      </c>
      <c r="C33" s="1" t="s">
        <v>90</v>
      </c>
      <c r="D33">
        <v>32</v>
      </c>
      <c r="E33" s="3">
        <v>42771</v>
      </c>
      <c r="F33">
        <f t="shared" si="0"/>
        <v>2</v>
      </c>
      <c r="H33" t="s">
        <v>19</v>
      </c>
      <c r="I33" t="s">
        <v>44</v>
      </c>
      <c r="J33" t="s">
        <v>91</v>
      </c>
      <c r="K33">
        <v>35</v>
      </c>
      <c r="L33" t="s">
        <v>53</v>
      </c>
      <c r="M33" t="s">
        <v>248</v>
      </c>
    </row>
    <row r="34" spans="1:13" x14ac:dyDescent="0.3">
      <c r="A34" s="1">
        <v>4</v>
      </c>
      <c r="B34" s="1" t="s">
        <v>92</v>
      </c>
      <c r="C34" s="1" t="s">
        <v>93</v>
      </c>
      <c r="D34">
        <v>33</v>
      </c>
      <c r="E34" s="3">
        <v>42828</v>
      </c>
      <c r="F34">
        <f t="shared" si="0"/>
        <v>4</v>
      </c>
      <c r="H34" t="s">
        <v>13</v>
      </c>
      <c r="I34" t="s">
        <v>14</v>
      </c>
      <c r="J34" t="s">
        <v>15</v>
      </c>
      <c r="K34">
        <v>57</v>
      </c>
      <c r="L34" t="s">
        <v>16</v>
      </c>
      <c r="M34" t="s">
        <v>248</v>
      </c>
    </row>
    <row r="35" spans="1:13" x14ac:dyDescent="0.3">
      <c r="A35" s="1">
        <v>31</v>
      </c>
      <c r="B35" s="1" t="s">
        <v>94</v>
      </c>
      <c r="C35" s="1" t="s">
        <v>95</v>
      </c>
      <c r="D35">
        <v>34</v>
      </c>
      <c r="E35" s="3">
        <v>42807</v>
      </c>
      <c r="F35">
        <f t="shared" si="0"/>
        <v>3</v>
      </c>
      <c r="H35" t="s">
        <v>22</v>
      </c>
      <c r="I35" t="s">
        <v>96</v>
      </c>
      <c r="J35" t="s">
        <v>97</v>
      </c>
      <c r="K35">
        <v>30</v>
      </c>
      <c r="L35" t="s">
        <v>53</v>
      </c>
      <c r="M35" t="s">
        <v>248</v>
      </c>
    </row>
    <row r="36" spans="1:13" x14ac:dyDescent="0.3">
      <c r="A36" s="1">
        <v>26</v>
      </c>
      <c r="B36" s="1" t="s">
        <v>98</v>
      </c>
      <c r="C36" s="1" t="s">
        <v>99</v>
      </c>
      <c r="D36">
        <v>35</v>
      </c>
      <c r="E36" s="3">
        <v>43024</v>
      </c>
      <c r="F36">
        <f t="shared" si="0"/>
        <v>10</v>
      </c>
      <c r="H36" t="s">
        <v>19</v>
      </c>
      <c r="I36" t="s">
        <v>14</v>
      </c>
      <c r="J36" t="s">
        <v>15</v>
      </c>
      <c r="K36">
        <v>52</v>
      </c>
      <c r="L36" t="s">
        <v>16</v>
      </c>
      <c r="M36" t="s">
        <v>248</v>
      </c>
    </row>
    <row r="37" spans="1:13" x14ac:dyDescent="0.3">
      <c r="A37" s="1">
        <v>27</v>
      </c>
      <c r="B37" s="1" t="s">
        <v>100</v>
      </c>
      <c r="C37" s="1" t="s">
        <v>101</v>
      </c>
      <c r="D37">
        <v>36</v>
      </c>
      <c r="E37" s="3">
        <v>42950</v>
      </c>
      <c r="F37">
        <f t="shared" si="0"/>
        <v>8</v>
      </c>
      <c r="H37" t="s">
        <v>19</v>
      </c>
      <c r="I37" t="s">
        <v>49</v>
      </c>
      <c r="J37" t="s">
        <v>50</v>
      </c>
      <c r="K37">
        <v>3</v>
      </c>
      <c r="L37" t="s">
        <v>16</v>
      </c>
      <c r="M37" t="s">
        <v>248</v>
      </c>
    </row>
    <row r="38" spans="1:13" x14ac:dyDescent="0.3">
      <c r="A38" s="1">
        <v>47</v>
      </c>
      <c r="B38" s="1" t="s">
        <v>102</v>
      </c>
      <c r="C38" s="1" t="s">
        <v>103</v>
      </c>
      <c r="D38">
        <v>37</v>
      </c>
      <c r="E38" s="3">
        <v>43043</v>
      </c>
      <c r="F38">
        <f t="shared" si="0"/>
        <v>11</v>
      </c>
      <c r="H38" t="s">
        <v>22</v>
      </c>
      <c r="I38" t="s">
        <v>49</v>
      </c>
      <c r="J38" t="s">
        <v>50</v>
      </c>
      <c r="K38">
        <v>2</v>
      </c>
      <c r="L38" t="s">
        <v>16</v>
      </c>
      <c r="M38" t="s">
        <v>248</v>
      </c>
    </row>
    <row r="39" spans="1:13" x14ac:dyDescent="0.3">
      <c r="A39" s="1">
        <v>50</v>
      </c>
      <c r="B39" s="1" t="s">
        <v>104</v>
      </c>
      <c r="C39" s="1" t="s">
        <v>105</v>
      </c>
      <c r="D39">
        <v>38</v>
      </c>
      <c r="E39" s="3">
        <v>43073</v>
      </c>
      <c r="F39">
        <f t="shared" si="0"/>
        <v>12</v>
      </c>
      <c r="H39" t="s">
        <v>13</v>
      </c>
      <c r="I39" t="s">
        <v>14</v>
      </c>
      <c r="J39" t="s">
        <v>15</v>
      </c>
      <c r="K39">
        <v>6</v>
      </c>
      <c r="L39" t="s">
        <v>53</v>
      </c>
      <c r="M39" t="s">
        <v>248</v>
      </c>
    </row>
    <row r="40" spans="1:13" x14ac:dyDescent="0.3">
      <c r="A40" s="1">
        <v>81</v>
      </c>
      <c r="B40" s="1" t="s">
        <v>106</v>
      </c>
      <c r="C40" s="1" t="s">
        <v>107</v>
      </c>
      <c r="D40">
        <v>39</v>
      </c>
      <c r="E40" s="3">
        <v>42873</v>
      </c>
      <c r="F40">
        <f t="shared" si="0"/>
        <v>5</v>
      </c>
      <c r="H40" t="s">
        <v>13</v>
      </c>
      <c r="I40" t="s">
        <v>14</v>
      </c>
      <c r="J40" t="s">
        <v>15</v>
      </c>
      <c r="K40">
        <v>9</v>
      </c>
      <c r="L40" t="s">
        <v>53</v>
      </c>
      <c r="M40" t="s">
        <v>248</v>
      </c>
    </row>
    <row r="41" spans="1:13" x14ac:dyDescent="0.3">
      <c r="A41" s="1">
        <v>37</v>
      </c>
      <c r="B41" s="1" t="s">
        <v>108</v>
      </c>
      <c r="C41" s="1" t="s">
        <v>109</v>
      </c>
      <c r="D41">
        <v>40</v>
      </c>
      <c r="E41" s="3">
        <v>42844</v>
      </c>
      <c r="F41">
        <f t="shared" si="0"/>
        <v>4</v>
      </c>
      <c r="H41" t="s">
        <v>22</v>
      </c>
      <c r="I41" t="s">
        <v>14</v>
      </c>
      <c r="J41" t="s">
        <v>24</v>
      </c>
      <c r="K41">
        <v>57</v>
      </c>
      <c r="L41" t="s">
        <v>53</v>
      </c>
      <c r="M41" t="s">
        <v>248</v>
      </c>
    </row>
    <row r="42" spans="1:13" x14ac:dyDescent="0.3">
      <c r="A42" s="1">
        <v>53</v>
      </c>
      <c r="B42" s="1" t="s">
        <v>110</v>
      </c>
      <c r="C42" s="1" t="s">
        <v>111</v>
      </c>
      <c r="D42">
        <v>41</v>
      </c>
      <c r="E42" s="3">
        <v>42845</v>
      </c>
      <c r="F42">
        <f t="shared" si="0"/>
        <v>4</v>
      </c>
      <c r="H42" t="s">
        <v>22</v>
      </c>
      <c r="I42" t="s">
        <v>14</v>
      </c>
      <c r="J42" t="s">
        <v>15</v>
      </c>
      <c r="K42">
        <v>53</v>
      </c>
      <c r="L42" t="s">
        <v>16</v>
      </c>
      <c r="M42" t="s">
        <v>248</v>
      </c>
    </row>
    <row r="43" spans="1:13" x14ac:dyDescent="0.3">
      <c r="A43" s="1">
        <v>46</v>
      </c>
      <c r="B43" s="1" t="s">
        <v>112</v>
      </c>
      <c r="C43" s="1" t="s">
        <v>113</v>
      </c>
      <c r="D43">
        <v>42</v>
      </c>
      <c r="E43" s="3">
        <v>42879</v>
      </c>
      <c r="F43">
        <f t="shared" si="0"/>
        <v>5</v>
      </c>
      <c r="H43" t="s">
        <v>22</v>
      </c>
      <c r="I43" t="s">
        <v>44</v>
      </c>
      <c r="J43" t="s">
        <v>91</v>
      </c>
      <c r="K43">
        <v>44</v>
      </c>
      <c r="L43" t="s">
        <v>53</v>
      </c>
      <c r="M43" t="s">
        <v>248</v>
      </c>
    </row>
    <row r="44" spans="1:13" x14ac:dyDescent="0.3">
      <c r="A44" s="1">
        <v>52</v>
      </c>
      <c r="B44" s="1" t="s">
        <v>114</v>
      </c>
      <c r="C44" s="1" t="s">
        <v>115</v>
      </c>
      <c r="D44">
        <v>43</v>
      </c>
      <c r="E44" s="3">
        <v>43043</v>
      </c>
      <c r="F44">
        <f t="shared" si="0"/>
        <v>11</v>
      </c>
      <c r="H44" t="s">
        <v>22</v>
      </c>
      <c r="I44" t="s">
        <v>14</v>
      </c>
      <c r="J44" t="s">
        <v>15</v>
      </c>
      <c r="K44">
        <v>53</v>
      </c>
      <c r="L44" t="s">
        <v>53</v>
      </c>
      <c r="M44" t="s">
        <v>248</v>
      </c>
    </row>
    <row r="45" spans="1:13" x14ac:dyDescent="0.3">
      <c r="A45" s="1">
        <v>45</v>
      </c>
      <c r="B45" s="1" t="s">
        <v>116</v>
      </c>
      <c r="C45" s="1" t="s">
        <v>117</v>
      </c>
      <c r="D45">
        <v>44</v>
      </c>
      <c r="E45" s="3">
        <v>42892</v>
      </c>
      <c r="F45">
        <f t="shared" si="0"/>
        <v>6</v>
      </c>
      <c r="H45" t="s">
        <v>22</v>
      </c>
      <c r="I45" t="s">
        <v>14</v>
      </c>
      <c r="J45" t="s">
        <v>15</v>
      </c>
      <c r="K45">
        <v>16</v>
      </c>
      <c r="L45" t="s">
        <v>53</v>
      </c>
      <c r="M45" t="s">
        <v>248</v>
      </c>
    </row>
    <row r="46" spans="1:13" x14ac:dyDescent="0.3">
      <c r="A46" s="1">
        <v>75</v>
      </c>
      <c r="B46" s="1" t="s">
        <v>118</v>
      </c>
      <c r="C46" s="1" t="s">
        <v>119</v>
      </c>
      <c r="D46">
        <v>45</v>
      </c>
      <c r="E46" s="3">
        <v>42830</v>
      </c>
      <c r="F46">
        <f t="shared" si="0"/>
        <v>4</v>
      </c>
      <c r="H46" t="s">
        <v>19</v>
      </c>
      <c r="I46" t="s">
        <v>14</v>
      </c>
      <c r="J46" t="s">
        <v>120</v>
      </c>
      <c r="K46">
        <v>54</v>
      </c>
      <c r="L46" t="s">
        <v>53</v>
      </c>
      <c r="M46" t="s">
        <v>248</v>
      </c>
    </row>
    <row r="47" spans="1:13" x14ac:dyDescent="0.3">
      <c r="A47" s="1">
        <v>76</v>
      </c>
      <c r="B47" s="1" t="s">
        <v>121</v>
      </c>
      <c r="C47" s="1" t="s">
        <v>122</v>
      </c>
      <c r="D47">
        <v>46</v>
      </c>
      <c r="E47" s="3">
        <v>42771</v>
      </c>
      <c r="F47">
        <f t="shared" si="0"/>
        <v>2</v>
      </c>
      <c r="H47" t="s">
        <v>13</v>
      </c>
      <c r="I47" t="s">
        <v>14</v>
      </c>
      <c r="J47" t="s">
        <v>15</v>
      </c>
      <c r="K47">
        <v>51</v>
      </c>
      <c r="L47" t="s">
        <v>16</v>
      </c>
      <c r="M47" t="s">
        <v>248</v>
      </c>
    </row>
    <row r="48" spans="1:13" x14ac:dyDescent="0.3">
      <c r="A48" s="1">
        <v>67</v>
      </c>
      <c r="B48" s="1" t="s">
        <v>123</v>
      </c>
      <c r="C48" s="1" t="s">
        <v>124</v>
      </c>
      <c r="D48">
        <v>47</v>
      </c>
      <c r="E48" s="3">
        <v>42870</v>
      </c>
      <c r="F48">
        <f t="shared" si="0"/>
        <v>5</v>
      </c>
      <c r="H48" t="s">
        <v>19</v>
      </c>
      <c r="I48" t="s">
        <v>14</v>
      </c>
      <c r="J48" t="s">
        <v>15</v>
      </c>
      <c r="K48">
        <v>35</v>
      </c>
      <c r="L48" t="s">
        <v>53</v>
      </c>
      <c r="M48" t="s">
        <v>248</v>
      </c>
    </row>
    <row r="49" spans="1:13" x14ac:dyDescent="0.3">
      <c r="A49" s="1">
        <v>8</v>
      </c>
      <c r="B49" s="1" t="s">
        <v>125</v>
      </c>
      <c r="C49" s="1" t="s">
        <v>126</v>
      </c>
      <c r="D49">
        <v>48</v>
      </c>
      <c r="E49" s="3">
        <v>42937</v>
      </c>
      <c r="F49">
        <f t="shared" si="0"/>
        <v>7</v>
      </c>
      <c r="H49" t="s">
        <v>13</v>
      </c>
      <c r="I49" t="s">
        <v>14</v>
      </c>
      <c r="J49" t="s">
        <v>15</v>
      </c>
      <c r="K49">
        <v>5</v>
      </c>
      <c r="L49" t="s">
        <v>53</v>
      </c>
      <c r="M49" t="s">
        <v>248</v>
      </c>
    </row>
    <row r="50" spans="1:13" x14ac:dyDescent="0.3">
      <c r="A50" s="1">
        <v>36</v>
      </c>
      <c r="B50" s="1" t="s">
        <v>127</v>
      </c>
      <c r="C50" s="1" t="s">
        <v>128</v>
      </c>
      <c r="D50">
        <v>49</v>
      </c>
      <c r="E50" s="3">
        <v>42873</v>
      </c>
      <c r="F50">
        <f t="shared" si="0"/>
        <v>5</v>
      </c>
      <c r="H50" t="s">
        <v>13</v>
      </c>
      <c r="I50" t="s">
        <v>14</v>
      </c>
      <c r="J50" t="s">
        <v>15</v>
      </c>
      <c r="K50">
        <v>53</v>
      </c>
      <c r="L50" t="s">
        <v>53</v>
      </c>
      <c r="M50" t="s">
        <v>248</v>
      </c>
    </row>
    <row r="51" spans="1:13" x14ac:dyDescent="0.3">
      <c r="A51" s="1">
        <v>40</v>
      </c>
      <c r="B51" s="1" t="s">
        <v>129</v>
      </c>
      <c r="C51" s="1" t="s">
        <v>130</v>
      </c>
      <c r="D51">
        <v>50</v>
      </c>
      <c r="E51" s="3">
        <v>43073</v>
      </c>
      <c r="F51">
        <f t="shared" si="0"/>
        <v>12</v>
      </c>
      <c r="H51" t="s">
        <v>19</v>
      </c>
      <c r="I51" t="s">
        <v>23</v>
      </c>
      <c r="J51" t="s">
        <v>24</v>
      </c>
      <c r="K51">
        <v>51</v>
      </c>
      <c r="L51" t="s">
        <v>53</v>
      </c>
      <c r="M51" t="s">
        <v>248</v>
      </c>
    </row>
    <row r="52" spans="1:13" x14ac:dyDescent="0.3">
      <c r="A52" s="1">
        <v>39</v>
      </c>
      <c r="B52" s="1" t="s">
        <v>131</v>
      </c>
      <c r="C52" s="1" t="s">
        <v>132</v>
      </c>
      <c r="D52">
        <v>51</v>
      </c>
      <c r="E52" s="3">
        <v>42899</v>
      </c>
      <c r="F52">
        <f t="shared" si="0"/>
        <v>6</v>
      </c>
      <c r="H52" t="s">
        <v>19</v>
      </c>
      <c r="I52" t="s">
        <v>49</v>
      </c>
      <c r="J52" t="s">
        <v>50</v>
      </c>
      <c r="K52">
        <v>1</v>
      </c>
      <c r="L52" t="s">
        <v>53</v>
      </c>
      <c r="M52" t="s">
        <v>248</v>
      </c>
    </row>
    <row r="53" spans="1:13" x14ac:dyDescent="0.3">
      <c r="A53" s="7">
        <v>38</v>
      </c>
      <c r="B53" s="7" t="s">
        <v>133</v>
      </c>
      <c r="C53" s="7" t="s">
        <v>134</v>
      </c>
      <c r="D53" s="8">
        <v>52</v>
      </c>
      <c r="E53" s="9">
        <v>42830</v>
      </c>
      <c r="F53" s="8">
        <f t="shared" si="0"/>
        <v>4</v>
      </c>
      <c r="G53" s="8"/>
      <c r="H53" s="8" t="s">
        <v>13</v>
      </c>
      <c r="I53" s="8" t="s">
        <v>44</v>
      </c>
      <c r="J53" s="8" t="s">
        <v>91</v>
      </c>
      <c r="K53" s="8">
        <v>23</v>
      </c>
      <c r="L53" s="8" t="s">
        <v>16</v>
      </c>
      <c r="M53" s="8" t="s">
        <v>248</v>
      </c>
    </row>
    <row r="54" spans="1:13" x14ac:dyDescent="0.3">
      <c r="A54" s="1">
        <v>33</v>
      </c>
      <c r="B54" s="1" t="s">
        <v>135</v>
      </c>
      <c r="C54" s="1" t="s">
        <v>136</v>
      </c>
      <c r="D54">
        <v>53</v>
      </c>
      <c r="E54" s="3">
        <v>43034</v>
      </c>
      <c r="F54">
        <f t="shared" si="0"/>
        <v>10</v>
      </c>
      <c r="H54" t="s">
        <v>19</v>
      </c>
      <c r="I54" t="s">
        <v>14</v>
      </c>
      <c r="J54" t="s">
        <v>15</v>
      </c>
      <c r="K54">
        <v>35</v>
      </c>
      <c r="L54" t="s">
        <v>16</v>
      </c>
      <c r="M54" t="s">
        <v>248</v>
      </c>
    </row>
    <row r="55" spans="1:13" x14ac:dyDescent="0.3">
      <c r="A55" s="1">
        <v>34</v>
      </c>
      <c r="B55" s="1" t="s">
        <v>137</v>
      </c>
      <c r="C55" s="1" t="s">
        <v>138</v>
      </c>
      <c r="D55">
        <v>54</v>
      </c>
      <c r="E55" s="3">
        <v>43043</v>
      </c>
      <c r="F55">
        <f t="shared" si="0"/>
        <v>11</v>
      </c>
      <c r="H55" t="s">
        <v>22</v>
      </c>
      <c r="I55" t="s">
        <v>14</v>
      </c>
      <c r="J55" t="s">
        <v>24</v>
      </c>
      <c r="K55">
        <v>34</v>
      </c>
      <c r="L55" t="s">
        <v>16</v>
      </c>
      <c r="M55" t="s">
        <v>248</v>
      </c>
    </row>
    <row r="56" spans="1:13" x14ac:dyDescent="0.3">
      <c r="A56" s="1">
        <v>60</v>
      </c>
      <c r="B56" s="1" t="s">
        <v>139</v>
      </c>
      <c r="C56" s="1" t="s">
        <v>140</v>
      </c>
      <c r="D56">
        <v>55</v>
      </c>
      <c r="E56" s="3">
        <v>43073</v>
      </c>
      <c r="F56">
        <f t="shared" si="0"/>
        <v>12</v>
      </c>
      <c r="H56" t="s">
        <v>19</v>
      </c>
      <c r="I56" t="s">
        <v>49</v>
      </c>
      <c r="J56" t="s">
        <v>50</v>
      </c>
      <c r="K56">
        <v>19</v>
      </c>
      <c r="L56" t="s">
        <v>53</v>
      </c>
      <c r="M56" t="s">
        <v>248</v>
      </c>
    </row>
    <row r="57" spans="1:13" x14ac:dyDescent="0.3">
      <c r="A57" s="1">
        <v>35</v>
      </c>
      <c r="B57" s="1" t="s">
        <v>141</v>
      </c>
      <c r="C57" s="1" t="s">
        <v>142</v>
      </c>
      <c r="D57">
        <v>56</v>
      </c>
      <c r="E57" s="3">
        <v>42892</v>
      </c>
      <c r="F57">
        <f t="shared" si="0"/>
        <v>6</v>
      </c>
      <c r="H57" t="s">
        <v>22</v>
      </c>
      <c r="I57" t="s">
        <v>14</v>
      </c>
      <c r="J57" t="s">
        <v>15</v>
      </c>
      <c r="K57">
        <v>45</v>
      </c>
      <c r="L57" t="s">
        <v>16</v>
      </c>
      <c r="M57" t="s">
        <v>248</v>
      </c>
    </row>
    <row r="58" spans="1:13" x14ac:dyDescent="0.3">
      <c r="A58" s="1">
        <v>54</v>
      </c>
      <c r="B58" s="1" t="s">
        <v>143</v>
      </c>
      <c r="C58" s="1" t="s">
        <v>144</v>
      </c>
      <c r="D58">
        <v>57</v>
      </c>
      <c r="E58" s="3">
        <v>43074</v>
      </c>
      <c r="F58">
        <f t="shared" si="0"/>
        <v>12</v>
      </c>
      <c r="H58" t="s">
        <v>22</v>
      </c>
      <c r="I58" t="s">
        <v>14</v>
      </c>
      <c r="J58" t="s">
        <v>15</v>
      </c>
      <c r="K58">
        <v>35</v>
      </c>
      <c r="L58" t="s">
        <v>16</v>
      </c>
      <c r="M58" t="s">
        <v>248</v>
      </c>
    </row>
    <row r="59" spans="1:13" x14ac:dyDescent="0.3">
      <c r="A59" s="1">
        <v>32</v>
      </c>
      <c r="B59" s="1" t="s">
        <v>145</v>
      </c>
      <c r="C59" s="1" t="s">
        <v>146</v>
      </c>
      <c r="D59">
        <v>58</v>
      </c>
      <c r="E59" s="3">
        <v>42830</v>
      </c>
      <c r="F59">
        <f t="shared" si="0"/>
        <v>4</v>
      </c>
      <c r="H59" t="s">
        <v>13</v>
      </c>
      <c r="I59" t="s">
        <v>44</v>
      </c>
      <c r="J59" t="s">
        <v>91</v>
      </c>
      <c r="K59">
        <v>27</v>
      </c>
      <c r="L59" t="s">
        <v>53</v>
      </c>
      <c r="M59" t="s">
        <v>248</v>
      </c>
    </row>
    <row r="60" spans="1:13" x14ac:dyDescent="0.3">
      <c r="A60" s="4">
        <v>16</v>
      </c>
      <c r="B60" s="4" t="s">
        <v>147</v>
      </c>
      <c r="C60" s="4" t="s">
        <v>148</v>
      </c>
      <c r="D60" s="5">
        <v>59</v>
      </c>
      <c r="E60" s="6">
        <v>42977</v>
      </c>
      <c r="F60" s="5">
        <f t="shared" si="0"/>
        <v>8</v>
      </c>
      <c r="G60" s="5"/>
      <c r="H60" s="5" t="s">
        <v>13</v>
      </c>
      <c r="I60" s="5" t="s">
        <v>14</v>
      </c>
      <c r="J60" s="5" t="s">
        <v>15</v>
      </c>
      <c r="K60" s="5">
        <v>31</v>
      </c>
      <c r="L60" s="5" t="s">
        <v>16</v>
      </c>
      <c r="M60" s="5" t="s">
        <v>248</v>
      </c>
    </row>
    <row r="61" spans="1:13" x14ac:dyDescent="0.3">
      <c r="A61" s="1">
        <v>15</v>
      </c>
      <c r="B61" s="1" t="s">
        <v>149</v>
      </c>
      <c r="C61" s="1" t="s">
        <v>150</v>
      </c>
      <c r="D61">
        <v>60</v>
      </c>
      <c r="E61" s="3">
        <v>42963</v>
      </c>
      <c r="F61">
        <f t="shared" si="0"/>
        <v>8</v>
      </c>
      <c r="H61" t="s">
        <v>13</v>
      </c>
      <c r="I61" t="s">
        <v>14</v>
      </c>
      <c r="J61" t="s">
        <v>15</v>
      </c>
      <c r="K61">
        <v>15</v>
      </c>
      <c r="L61" t="s">
        <v>16</v>
      </c>
      <c r="M61" t="s">
        <v>248</v>
      </c>
    </row>
    <row r="62" spans="1:13" x14ac:dyDescent="0.3">
      <c r="A62" s="1">
        <v>72</v>
      </c>
      <c r="B62" s="1" t="s">
        <v>151</v>
      </c>
      <c r="C62" s="1" t="s">
        <v>152</v>
      </c>
      <c r="D62">
        <v>61</v>
      </c>
      <c r="E62" s="3">
        <v>42904</v>
      </c>
      <c r="F62">
        <f t="shared" si="0"/>
        <v>6</v>
      </c>
      <c r="H62" t="s">
        <v>19</v>
      </c>
      <c r="I62" t="s">
        <v>14</v>
      </c>
      <c r="J62" t="s">
        <v>15</v>
      </c>
      <c r="K62">
        <v>1</v>
      </c>
      <c r="L62" t="s">
        <v>53</v>
      </c>
      <c r="M62" t="s">
        <v>248</v>
      </c>
    </row>
    <row r="63" spans="1:13" x14ac:dyDescent="0.3">
      <c r="A63" s="1">
        <v>73</v>
      </c>
      <c r="B63" s="1" t="s">
        <v>153</v>
      </c>
      <c r="C63" s="1" t="s">
        <v>154</v>
      </c>
      <c r="D63">
        <v>62</v>
      </c>
      <c r="E63" s="3">
        <v>43027</v>
      </c>
      <c r="F63">
        <f t="shared" si="0"/>
        <v>10</v>
      </c>
      <c r="H63" t="s">
        <v>19</v>
      </c>
      <c r="I63" t="s">
        <v>23</v>
      </c>
      <c r="J63" t="s">
        <v>24</v>
      </c>
      <c r="K63">
        <v>3.7999999999999999E-2</v>
      </c>
      <c r="L63" t="s">
        <v>53</v>
      </c>
      <c r="M63" t="s">
        <v>248</v>
      </c>
    </row>
    <row r="64" spans="1:13" x14ac:dyDescent="0.3">
      <c r="A64" s="1">
        <v>74</v>
      </c>
      <c r="B64" s="1" t="s">
        <v>155</v>
      </c>
      <c r="C64" s="1" t="s">
        <v>156</v>
      </c>
      <c r="D64">
        <v>63</v>
      </c>
      <c r="E64" s="3">
        <v>43027</v>
      </c>
      <c r="F64">
        <f t="shared" si="0"/>
        <v>10</v>
      </c>
      <c r="H64" t="s">
        <v>19</v>
      </c>
      <c r="I64" t="s">
        <v>49</v>
      </c>
      <c r="J64" t="s">
        <v>50</v>
      </c>
      <c r="K64">
        <v>67</v>
      </c>
      <c r="L64" t="s">
        <v>16</v>
      </c>
      <c r="M64" t="s">
        <v>248</v>
      </c>
    </row>
    <row r="65" spans="1:13" x14ac:dyDescent="0.3">
      <c r="A65" s="1">
        <v>26</v>
      </c>
      <c r="B65" s="1">
        <v>144</v>
      </c>
      <c r="C65" s="1" t="s">
        <v>157</v>
      </c>
      <c r="D65">
        <v>64</v>
      </c>
      <c r="E65" s="3">
        <v>43043</v>
      </c>
      <c r="F65">
        <f t="shared" si="0"/>
        <v>11</v>
      </c>
      <c r="H65" t="s">
        <v>19</v>
      </c>
      <c r="I65" t="s">
        <v>14</v>
      </c>
      <c r="J65" t="s">
        <v>158</v>
      </c>
      <c r="K65">
        <v>38</v>
      </c>
      <c r="L65" t="s">
        <v>53</v>
      </c>
      <c r="M65" t="s">
        <v>248</v>
      </c>
    </row>
    <row r="66" spans="1:13" x14ac:dyDescent="0.3">
      <c r="A66" s="1">
        <v>6</v>
      </c>
      <c r="B66" s="1" t="s">
        <v>159</v>
      </c>
      <c r="C66" s="1" t="s">
        <v>160</v>
      </c>
      <c r="D66">
        <v>65</v>
      </c>
      <c r="E66" s="3">
        <v>42922</v>
      </c>
      <c r="F66">
        <f t="shared" si="0"/>
        <v>7</v>
      </c>
      <c r="H66" t="s">
        <v>13</v>
      </c>
      <c r="I66" t="s">
        <v>14</v>
      </c>
      <c r="J66" t="s">
        <v>15</v>
      </c>
      <c r="K66">
        <v>12</v>
      </c>
      <c r="L66" t="s">
        <v>53</v>
      </c>
      <c r="M66" t="s">
        <v>248</v>
      </c>
    </row>
    <row r="67" spans="1:13" x14ac:dyDescent="0.3">
      <c r="A67" s="1">
        <v>7</v>
      </c>
      <c r="B67" s="1" t="s">
        <v>161</v>
      </c>
      <c r="C67" s="1" t="s">
        <v>162</v>
      </c>
      <c r="D67">
        <v>66</v>
      </c>
      <c r="E67" s="3">
        <v>42937</v>
      </c>
      <c r="F67">
        <f t="shared" ref="F67:F108" si="1">MONTH(E67)</f>
        <v>7</v>
      </c>
      <c r="H67" t="s">
        <v>13</v>
      </c>
      <c r="I67" t="s">
        <v>14</v>
      </c>
      <c r="J67" t="s">
        <v>15</v>
      </c>
      <c r="K67">
        <v>45</v>
      </c>
      <c r="L67" t="s">
        <v>16</v>
      </c>
      <c r="M67" t="s">
        <v>248</v>
      </c>
    </row>
    <row r="68" spans="1:13" x14ac:dyDescent="0.3">
      <c r="A68" s="1">
        <v>4</v>
      </c>
      <c r="B68" s="1" t="s">
        <v>163</v>
      </c>
      <c r="C68" s="1" t="s">
        <v>164</v>
      </c>
      <c r="D68">
        <v>67</v>
      </c>
      <c r="E68" s="3">
        <v>42886</v>
      </c>
      <c r="F68">
        <f t="shared" si="1"/>
        <v>5</v>
      </c>
      <c r="H68" t="s">
        <v>13</v>
      </c>
      <c r="I68" t="s">
        <v>14</v>
      </c>
      <c r="J68" t="s">
        <v>15</v>
      </c>
      <c r="K68">
        <v>70</v>
      </c>
      <c r="L68" t="s">
        <v>53</v>
      </c>
      <c r="M68" t="s">
        <v>248</v>
      </c>
    </row>
    <row r="69" spans="1:13" x14ac:dyDescent="0.3">
      <c r="A69" s="1">
        <v>12</v>
      </c>
      <c r="B69" s="1" t="s">
        <v>165</v>
      </c>
      <c r="C69" s="1" t="s">
        <v>166</v>
      </c>
      <c r="D69">
        <v>68</v>
      </c>
      <c r="E69" s="3">
        <v>42937</v>
      </c>
      <c r="F69">
        <f t="shared" si="1"/>
        <v>7</v>
      </c>
      <c r="H69" t="s">
        <v>13</v>
      </c>
      <c r="I69" t="s">
        <v>14</v>
      </c>
      <c r="J69" t="s">
        <v>15</v>
      </c>
      <c r="K69">
        <v>72</v>
      </c>
      <c r="L69" t="s">
        <v>16</v>
      </c>
      <c r="M69" t="s">
        <v>248</v>
      </c>
    </row>
    <row r="70" spans="1:13" x14ac:dyDescent="0.3">
      <c r="A70" s="1">
        <v>41</v>
      </c>
      <c r="B70" s="1" t="s">
        <v>167</v>
      </c>
      <c r="C70" s="1" t="s">
        <v>168</v>
      </c>
      <c r="D70">
        <v>69</v>
      </c>
      <c r="E70" s="3">
        <v>42824</v>
      </c>
      <c r="F70">
        <f t="shared" si="1"/>
        <v>3</v>
      </c>
      <c r="H70" t="s">
        <v>22</v>
      </c>
      <c r="I70" t="s">
        <v>65</v>
      </c>
      <c r="J70" t="s">
        <v>169</v>
      </c>
      <c r="K70">
        <v>17</v>
      </c>
      <c r="L70" t="s">
        <v>53</v>
      </c>
      <c r="M70" t="s">
        <v>248</v>
      </c>
    </row>
    <row r="71" spans="1:13" x14ac:dyDescent="0.3">
      <c r="A71" s="1">
        <v>59</v>
      </c>
      <c r="B71" s="1" t="s">
        <v>170</v>
      </c>
      <c r="C71" s="1" t="s">
        <v>171</v>
      </c>
      <c r="D71">
        <v>70</v>
      </c>
      <c r="E71" s="3">
        <v>42843</v>
      </c>
      <c r="F71">
        <f t="shared" si="1"/>
        <v>4</v>
      </c>
      <c r="H71" t="s">
        <v>19</v>
      </c>
      <c r="I71" t="s">
        <v>49</v>
      </c>
      <c r="J71" t="s">
        <v>50</v>
      </c>
      <c r="K71">
        <v>1.9E-2</v>
      </c>
      <c r="L71" t="s">
        <v>16</v>
      </c>
      <c r="M71" t="s">
        <v>248</v>
      </c>
    </row>
    <row r="72" spans="1:13" x14ac:dyDescent="0.3">
      <c r="A72" s="1">
        <v>62</v>
      </c>
      <c r="B72" s="1" t="s">
        <v>172</v>
      </c>
      <c r="C72" s="1" t="s">
        <v>173</v>
      </c>
      <c r="D72">
        <v>71</v>
      </c>
      <c r="E72" s="3">
        <v>42843</v>
      </c>
      <c r="F72">
        <f t="shared" si="1"/>
        <v>4</v>
      </c>
      <c r="H72" t="s">
        <v>19</v>
      </c>
      <c r="I72" t="s">
        <v>49</v>
      </c>
      <c r="J72" t="s">
        <v>50</v>
      </c>
      <c r="K72">
        <v>3.0000000000000001E-3</v>
      </c>
      <c r="L72" t="s">
        <v>16</v>
      </c>
      <c r="M72" t="s">
        <v>248</v>
      </c>
    </row>
    <row r="73" spans="1:13" x14ac:dyDescent="0.3">
      <c r="A73" s="1">
        <v>68</v>
      </c>
      <c r="B73" s="1" t="s">
        <v>174</v>
      </c>
      <c r="C73" s="1" t="s">
        <v>175</v>
      </c>
      <c r="D73">
        <v>72</v>
      </c>
      <c r="E73" s="3">
        <v>42870</v>
      </c>
      <c r="F73">
        <f t="shared" si="1"/>
        <v>5</v>
      </c>
      <c r="H73" t="s">
        <v>19</v>
      </c>
      <c r="I73" t="s">
        <v>14</v>
      </c>
      <c r="J73" t="s">
        <v>15</v>
      </c>
      <c r="K73">
        <v>3.7999999999999999E-2</v>
      </c>
      <c r="L73" t="s">
        <v>16</v>
      </c>
      <c r="M73" t="s">
        <v>248</v>
      </c>
    </row>
    <row r="74" spans="1:13" x14ac:dyDescent="0.3">
      <c r="A74" s="1">
        <v>69</v>
      </c>
      <c r="B74" s="1" t="s">
        <v>176</v>
      </c>
      <c r="C74" s="1" t="s">
        <v>177</v>
      </c>
      <c r="D74">
        <v>73</v>
      </c>
      <c r="E74" s="3">
        <v>42873</v>
      </c>
      <c r="F74">
        <f t="shared" si="1"/>
        <v>5</v>
      </c>
      <c r="H74" t="s">
        <v>19</v>
      </c>
      <c r="I74" t="s">
        <v>80</v>
      </c>
      <c r="J74" t="s">
        <v>24</v>
      </c>
      <c r="K74">
        <v>35</v>
      </c>
      <c r="L74" t="s">
        <v>53</v>
      </c>
      <c r="M74" t="s">
        <v>248</v>
      </c>
    </row>
    <row r="75" spans="1:13" x14ac:dyDescent="0.3">
      <c r="A75" s="1">
        <v>3</v>
      </c>
      <c r="B75" s="1" t="s">
        <v>178</v>
      </c>
      <c r="C75" s="1" t="s">
        <v>179</v>
      </c>
      <c r="D75">
        <v>74</v>
      </c>
      <c r="E75" s="3">
        <v>42886</v>
      </c>
      <c r="F75">
        <f t="shared" si="1"/>
        <v>5</v>
      </c>
      <c r="H75" t="s">
        <v>13</v>
      </c>
      <c r="I75" t="s">
        <v>14</v>
      </c>
      <c r="J75" t="s">
        <v>15</v>
      </c>
      <c r="K75">
        <v>39</v>
      </c>
      <c r="L75" t="s">
        <v>16</v>
      </c>
      <c r="M75" t="s">
        <v>248</v>
      </c>
    </row>
    <row r="76" spans="1:13" x14ac:dyDescent="0.3">
      <c r="A76" s="1">
        <v>57</v>
      </c>
      <c r="B76" s="1" t="s">
        <v>180</v>
      </c>
      <c r="C76" s="1" t="s">
        <v>181</v>
      </c>
      <c r="D76">
        <v>75</v>
      </c>
      <c r="E76" s="3">
        <v>43074</v>
      </c>
      <c r="F76">
        <f t="shared" si="1"/>
        <v>12</v>
      </c>
      <c r="H76" t="s">
        <v>22</v>
      </c>
      <c r="I76" t="s">
        <v>14</v>
      </c>
      <c r="J76" t="s">
        <v>15</v>
      </c>
      <c r="K76">
        <v>11</v>
      </c>
      <c r="L76" t="s">
        <v>53</v>
      </c>
      <c r="M76" t="s">
        <v>248</v>
      </c>
    </row>
    <row r="77" spans="1:13" x14ac:dyDescent="0.3">
      <c r="A77" s="1">
        <v>48</v>
      </c>
      <c r="B77" s="1" t="s">
        <v>182</v>
      </c>
      <c r="C77" s="1" t="s">
        <v>183</v>
      </c>
      <c r="D77">
        <v>76</v>
      </c>
      <c r="E77" s="3">
        <v>42892</v>
      </c>
      <c r="F77">
        <f t="shared" si="1"/>
        <v>6</v>
      </c>
      <c r="H77" t="s">
        <v>22</v>
      </c>
      <c r="I77" t="s">
        <v>14</v>
      </c>
      <c r="J77" t="s">
        <v>15</v>
      </c>
      <c r="K77">
        <v>50</v>
      </c>
      <c r="L77" t="s">
        <v>16</v>
      </c>
      <c r="M77" t="s">
        <v>248</v>
      </c>
    </row>
    <row r="78" spans="1:13" x14ac:dyDescent="0.3">
      <c r="A78" s="1">
        <v>71</v>
      </c>
      <c r="B78" s="1" t="s">
        <v>184</v>
      </c>
      <c r="C78" s="1" t="s">
        <v>185</v>
      </c>
      <c r="D78">
        <v>77</v>
      </c>
      <c r="E78" s="3">
        <v>42892</v>
      </c>
      <c r="F78">
        <f t="shared" si="1"/>
        <v>6</v>
      </c>
      <c r="H78" t="s">
        <v>19</v>
      </c>
      <c r="I78" t="s">
        <v>49</v>
      </c>
      <c r="J78" t="s">
        <v>50</v>
      </c>
      <c r="K78">
        <v>66</v>
      </c>
      <c r="L78" t="s">
        <v>53</v>
      </c>
      <c r="M78" t="s">
        <v>248</v>
      </c>
    </row>
    <row r="79" spans="1:13" x14ac:dyDescent="0.3">
      <c r="A79" s="1">
        <v>77</v>
      </c>
      <c r="B79" s="1" t="s">
        <v>186</v>
      </c>
      <c r="C79" s="1" t="s">
        <v>187</v>
      </c>
      <c r="D79">
        <v>78</v>
      </c>
      <c r="E79" s="3">
        <v>42830</v>
      </c>
      <c r="F79">
        <f t="shared" si="1"/>
        <v>4</v>
      </c>
      <c r="H79" t="s">
        <v>13</v>
      </c>
      <c r="I79" t="s">
        <v>14</v>
      </c>
      <c r="J79" t="s">
        <v>15</v>
      </c>
      <c r="K79">
        <v>42</v>
      </c>
      <c r="L79" t="s">
        <v>16</v>
      </c>
      <c r="M79" t="s">
        <v>248</v>
      </c>
    </row>
    <row r="80" spans="1:13" x14ac:dyDescent="0.3">
      <c r="A80" s="1">
        <v>11</v>
      </c>
      <c r="B80" s="1" t="s">
        <v>188</v>
      </c>
      <c r="C80" s="1" t="s">
        <v>189</v>
      </c>
      <c r="D80">
        <v>79</v>
      </c>
      <c r="E80" s="3">
        <v>42937</v>
      </c>
      <c r="F80">
        <f t="shared" si="1"/>
        <v>7</v>
      </c>
      <c r="H80" t="s">
        <v>13</v>
      </c>
      <c r="I80" t="s">
        <v>14</v>
      </c>
      <c r="J80" t="s">
        <v>15</v>
      </c>
      <c r="K80">
        <v>82</v>
      </c>
      <c r="L80" t="s">
        <v>16</v>
      </c>
      <c r="M80" t="s">
        <v>248</v>
      </c>
    </row>
    <row r="81" spans="1:13" x14ac:dyDescent="0.3">
      <c r="A81" s="1">
        <v>18</v>
      </c>
      <c r="B81" s="1" t="s">
        <v>190</v>
      </c>
      <c r="C81" s="1" t="s">
        <v>191</v>
      </c>
      <c r="D81">
        <v>80</v>
      </c>
      <c r="E81" s="3">
        <v>42977</v>
      </c>
      <c r="F81">
        <f t="shared" si="1"/>
        <v>8</v>
      </c>
      <c r="H81" t="s">
        <v>13</v>
      </c>
      <c r="I81" t="s">
        <v>14</v>
      </c>
      <c r="J81" t="s">
        <v>15</v>
      </c>
      <c r="K81">
        <v>40</v>
      </c>
      <c r="L81" t="s">
        <v>53</v>
      </c>
      <c r="M81" t="s">
        <v>248</v>
      </c>
    </row>
    <row r="82" spans="1:13" x14ac:dyDescent="0.3">
      <c r="A82" s="1">
        <v>64</v>
      </c>
      <c r="B82" s="1" t="s">
        <v>192</v>
      </c>
      <c r="C82" s="1" t="s">
        <v>193</v>
      </c>
      <c r="D82">
        <v>81</v>
      </c>
      <c r="E82" s="3">
        <v>42851</v>
      </c>
      <c r="F82">
        <f t="shared" si="1"/>
        <v>4</v>
      </c>
      <c r="H82" t="s">
        <v>19</v>
      </c>
      <c r="I82" t="s">
        <v>49</v>
      </c>
      <c r="J82" t="s">
        <v>50</v>
      </c>
      <c r="K82">
        <v>2</v>
      </c>
      <c r="L82" t="s">
        <v>16</v>
      </c>
      <c r="M82" t="s">
        <v>248</v>
      </c>
    </row>
    <row r="83" spans="1:13" x14ac:dyDescent="0.3">
      <c r="A83" s="1">
        <v>65</v>
      </c>
      <c r="B83" s="1" t="s">
        <v>194</v>
      </c>
      <c r="C83" s="1" t="s">
        <v>195</v>
      </c>
      <c r="D83">
        <v>82</v>
      </c>
      <c r="E83" s="3">
        <v>42771</v>
      </c>
      <c r="F83">
        <f t="shared" si="1"/>
        <v>2</v>
      </c>
      <c r="H83" t="s">
        <v>19</v>
      </c>
      <c r="I83" t="s">
        <v>49</v>
      </c>
      <c r="J83" t="s">
        <v>50</v>
      </c>
      <c r="K83">
        <v>69</v>
      </c>
      <c r="L83" t="s">
        <v>16</v>
      </c>
      <c r="M83" t="s">
        <v>248</v>
      </c>
    </row>
    <row r="84" spans="1:13" x14ac:dyDescent="0.3">
      <c r="A84" s="1">
        <v>66</v>
      </c>
      <c r="B84" s="1" t="s">
        <v>196</v>
      </c>
      <c r="C84" s="1" t="s">
        <v>197</v>
      </c>
      <c r="D84">
        <v>83</v>
      </c>
      <c r="E84" s="3">
        <v>42870</v>
      </c>
      <c r="F84">
        <f t="shared" si="1"/>
        <v>5</v>
      </c>
      <c r="H84" t="s">
        <v>19</v>
      </c>
      <c r="I84" t="s">
        <v>96</v>
      </c>
      <c r="J84" t="s">
        <v>24</v>
      </c>
      <c r="K84">
        <v>35</v>
      </c>
      <c r="L84" t="s">
        <v>53</v>
      </c>
      <c r="M84" t="s">
        <v>248</v>
      </c>
    </row>
    <row r="85" spans="1:13" x14ac:dyDescent="0.3">
      <c r="A85" s="1">
        <v>19</v>
      </c>
      <c r="B85" s="1" t="s">
        <v>198</v>
      </c>
      <c r="C85" s="1" t="s">
        <v>199</v>
      </c>
      <c r="D85">
        <v>84</v>
      </c>
      <c r="E85" s="3">
        <v>42977</v>
      </c>
      <c r="F85">
        <f t="shared" si="1"/>
        <v>8</v>
      </c>
      <c r="H85" t="s">
        <v>13</v>
      </c>
      <c r="I85" t="s">
        <v>14</v>
      </c>
      <c r="J85" t="s">
        <v>15</v>
      </c>
      <c r="K85">
        <v>25</v>
      </c>
      <c r="L85" t="s">
        <v>16</v>
      </c>
      <c r="M85" t="s">
        <v>248</v>
      </c>
    </row>
    <row r="86" spans="1:13" x14ac:dyDescent="0.3">
      <c r="A86" s="1">
        <v>24</v>
      </c>
      <c r="B86" s="1" t="s">
        <v>200</v>
      </c>
      <c r="C86" s="1" t="s">
        <v>201</v>
      </c>
      <c r="D86">
        <v>85</v>
      </c>
      <c r="E86" s="3">
        <v>42844</v>
      </c>
      <c r="F86">
        <f t="shared" si="1"/>
        <v>4</v>
      </c>
      <c r="H86" t="s">
        <v>13</v>
      </c>
      <c r="I86" t="s">
        <v>23</v>
      </c>
      <c r="J86" t="s">
        <v>24</v>
      </c>
      <c r="K86">
        <v>26</v>
      </c>
      <c r="L86" t="s">
        <v>53</v>
      </c>
      <c r="M86" t="s">
        <v>248</v>
      </c>
    </row>
    <row r="87" spans="1:13" x14ac:dyDescent="0.3">
      <c r="A87" s="1">
        <v>13</v>
      </c>
      <c r="B87" s="1" t="s">
        <v>202</v>
      </c>
      <c r="C87" s="1" t="s">
        <v>203</v>
      </c>
      <c r="D87">
        <v>86</v>
      </c>
      <c r="E87" s="3">
        <v>42963</v>
      </c>
      <c r="F87">
        <f t="shared" si="1"/>
        <v>8</v>
      </c>
      <c r="H87" t="s">
        <v>13</v>
      </c>
      <c r="I87" t="s">
        <v>14</v>
      </c>
      <c r="J87" t="s">
        <v>15</v>
      </c>
      <c r="K87">
        <v>27</v>
      </c>
      <c r="L87" t="s">
        <v>16</v>
      </c>
      <c r="M87" t="s">
        <v>248</v>
      </c>
    </row>
    <row r="88" spans="1:13" x14ac:dyDescent="0.3">
      <c r="A88" s="1">
        <v>20</v>
      </c>
      <c r="B88" s="1" t="s">
        <v>204</v>
      </c>
      <c r="C88" s="1" t="s">
        <v>205</v>
      </c>
      <c r="D88">
        <v>87</v>
      </c>
      <c r="E88" s="3">
        <v>42977</v>
      </c>
      <c r="F88">
        <f t="shared" si="1"/>
        <v>8</v>
      </c>
      <c r="H88" t="s">
        <v>13</v>
      </c>
      <c r="I88" t="s">
        <v>14</v>
      </c>
      <c r="J88" t="s">
        <v>15</v>
      </c>
      <c r="K88">
        <v>35</v>
      </c>
      <c r="L88" t="s">
        <v>16</v>
      </c>
      <c r="M88" t="s">
        <v>248</v>
      </c>
    </row>
    <row r="89" spans="1:13" x14ac:dyDescent="0.3">
      <c r="A89" s="1">
        <v>61</v>
      </c>
      <c r="B89" s="1" t="s">
        <v>206</v>
      </c>
      <c r="C89" s="1" t="s">
        <v>207</v>
      </c>
      <c r="D89">
        <v>88</v>
      </c>
      <c r="E89" s="3">
        <v>43043</v>
      </c>
      <c r="F89">
        <f t="shared" si="1"/>
        <v>11</v>
      </c>
      <c r="H89" t="s">
        <v>22</v>
      </c>
      <c r="I89" t="s">
        <v>80</v>
      </c>
      <c r="J89" t="s">
        <v>24</v>
      </c>
      <c r="K89">
        <v>12</v>
      </c>
      <c r="L89" t="s">
        <v>16</v>
      </c>
      <c r="M89" t="s">
        <v>248</v>
      </c>
    </row>
    <row r="90" spans="1:13" x14ac:dyDescent="0.3">
      <c r="A90" s="1">
        <v>9</v>
      </c>
      <c r="B90" s="1" t="s">
        <v>208</v>
      </c>
      <c r="C90" s="1" t="s">
        <v>209</v>
      </c>
      <c r="D90">
        <v>89</v>
      </c>
      <c r="E90" s="3">
        <v>42937</v>
      </c>
      <c r="F90">
        <f t="shared" si="1"/>
        <v>7</v>
      </c>
      <c r="H90" t="s">
        <v>13</v>
      </c>
      <c r="I90" t="s">
        <v>96</v>
      </c>
      <c r="J90" t="s">
        <v>97</v>
      </c>
      <c r="K90">
        <v>35</v>
      </c>
      <c r="L90" t="s">
        <v>53</v>
      </c>
      <c r="M90" t="s">
        <v>248</v>
      </c>
    </row>
    <row r="91" spans="1:13" x14ac:dyDescent="0.3">
      <c r="A91" s="1" t="s">
        <v>210</v>
      </c>
      <c r="B91" s="1" t="s">
        <v>211</v>
      </c>
      <c r="C91" s="1" t="s">
        <v>212</v>
      </c>
      <c r="D91">
        <v>90</v>
      </c>
      <c r="E91" s="3">
        <v>42886</v>
      </c>
      <c r="F91">
        <f t="shared" si="1"/>
        <v>5</v>
      </c>
      <c r="H91" t="s">
        <v>13</v>
      </c>
      <c r="I91" t="s">
        <v>14</v>
      </c>
      <c r="J91" t="s">
        <v>15</v>
      </c>
      <c r="K91">
        <v>35</v>
      </c>
      <c r="L91" t="s">
        <v>16</v>
      </c>
      <c r="M91" t="s">
        <v>248</v>
      </c>
    </row>
    <row r="92" spans="1:13" x14ac:dyDescent="0.3">
      <c r="A92" s="1">
        <v>22</v>
      </c>
      <c r="B92" s="1" t="s">
        <v>213</v>
      </c>
      <c r="C92" s="1" t="s">
        <v>214</v>
      </c>
      <c r="D92">
        <v>91</v>
      </c>
      <c r="E92" s="3">
        <v>42838</v>
      </c>
      <c r="F92">
        <f t="shared" si="1"/>
        <v>4</v>
      </c>
      <c r="H92" t="s">
        <v>13</v>
      </c>
      <c r="I92" t="s">
        <v>14</v>
      </c>
      <c r="J92" t="s">
        <v>15</v>
      </c>
      <c r="K92">
        <v>42</v>
      </c>
      <c r="L92" t="s">
        <v>16</v>
      </c>
      <c r="M92" t="s">
        <v>248</v>
      </c>
    </row>
    <row r="93" spans="1:13" x14ac:dyDescent="0.3">
      <c r="A93" s="1">
        <v>63</v>
      </c>
      <c r="B93" s="1" t="s">
        <v>215</v>
      </c>
      <c r="C93" s="1" t="s">
        <v>216</v>
      </c>
      <c r="D93">
        <v>92</v>
      </c>
      <c r="E93" s="3">
        <v>42844</v>
      </c>
      <c r="F93">
        <f t="shared" si="1"/>
        <v>4</v>
      </c>
      <c r="H93" t="s">
        <v>19</v>
      </c>
      <c r="I93" t="s">
        <v>49</v>
      </c>
      <c r="J93" t="s">
        <v>50</v>
      </c>
      <c r="K93">
        <v>0.15</v>
      </c>
      <c r="L93" t="s">
        <v>16</v>
      </c>
      <c r="M93" t="s">
        <v>248</v>
      </c>
    </row>
    <row r="94" spans="1:13" x14ac:dyDescent="0.3">
      <c r="A94" s="1">
        <v>58</v>
      </c>
      <c r="B94" s="1" t="s">
        <v>217</v>
      </c>
      <c r="C94" s="1" t="s">
        <v>218</v>
      </c>
      <c r="D94">
        <v>93</v>
      </c>
      <c r="E94" s="3">
        <v>42873</v>
      </c>
      <c r="F94">
        <f t="shared" si="1"/>
        <v>5</v>
      </c>
      <c r="H94" t="s">
        <v>22</v>
      </c>
      <c r="I94" t="s">
        <v>96</v>
      </c>
      <c r="J94" t="s">
        <v>97</v>
      </c>
      <c r="K94">
        <v>30</v>
      </c>
      <c r="L94" t="s">
        <v>53</v>
      </c>
      <c r="M94" t="s">
        <v>248</v>
      </c>
    </row>
    <row r="95" spans="1:13" x14ac:dyDescent="0.3">
      <c r="A95" s="1">
        <v>25</v>
      </c>
      <c r="B95" s="1" t="s">
        <v>219</v>
      </c>
      <c r="C95" s="1" t="s">
        <v>220</v>
      </c>
      <c r="D95">
        <v>94</v>
      </c>
      <c r="E95" s="3">
        <v>42844</v>
      </c>
      <c r="F95">
        <f t="shared" si="1"/>
        <v>4</v>
      </c>
      <c r="H95" t="s">
        <v>13</v>
      </c>
      <c r="I95" t="s">
        <v>23</v>
      </c>
      <c r="J95" t="s">
        <v>24</v>
      </c>
      <c r="K95">
        <v>75</v>
      </c>
      <c r="L95" t="s">
        <v>16</v>
      </c>
      <c r="M95" t="s">
        <v>248</v>
      </c>
    </row>
    <row r="96" spans="1:13" x14ac:dyDescent="0.3">
      <c r="A96" s="7">
        <v>14</v>
      </c>
      <c r="B96" s="7" t="s">
        <v>221</v>
      </c>
      <c r="C96" s="7" t="s">
        <v>222</v>
      </c>
      <c r="D96" s="8">
        <v>95</v>
      </c>
      <c r="E96" s="9">
        <v>42845</v>
      </c>
      <c r="F96" s="8">
        <f t="shared" si="1"/>
        <v>4</v>
      </c>
      <c r="G96" s="8"/>
      <c r="H96" s="8" t="s">
        <v>13</v>
      </c>
      <c r="I96" s="8" t="s">
        <v>14</v>
      </c>
      <c r="J96" s="8" t="s">
        <v>15</v>
      </c>
      <c r="K96" s="8">
        <v>35</v>
      </c>
      <c r="L96" s="8" t="s">
        <v>16</v>
      </c>
      <c r="M96" s="8" t="s">
        <v>248</v>
      </c>
    </row>
    <row r="97" spans="1:13" x14ac:dyDescent="0.3">
      <c r="A97" s="1">
        <v>2</v>
      </c>
      <c r="B97" s="1" t="s">
        <v>223</v>
      </c>
      <c r="C97" s="1" t="s">
        <v>224</v>
      </c>
      <c r="D97">
        <v>96</v>
      </c>
      <c r="E97" s="3">
        <v>42879</v>
      </c>
      <c r="F97">
        <f t="shared" si="1"/>
        <v>5</v>
      </c>
      <c r="H97" t="s">
        <v>13</v>
      </c>
      <c r="I97" t="s">
        <v>44</v>
      </c>
      <c r="J97" t="s">
        <v>91</v>
      </c>
      <c r="K97">
        <v>71</v>
      </c>
      <c r="L97" t="s">
        <v>53</v>
      </c>
      <c r="M97" t="s">
        <v>248</v>
      </c>
    </row>
    <row r="98" spans="1:13" x14ac:dyDescent="0.3">
      <c r="A98" s="1">
        <v>78</v>
      </c>
      <c r="B98" s="1" t="s">
        <v>225</v>
      </c>
      <c r="C98" s="1" t="s">
        <v>226</v>
      </c>
      <c r="D98">
        <v>97</v>
      </c>
      <c r="E98" s="3">
        <v>42830</v>
      </c>
      <c r="F98">
        <f t="shared" si="1"/>
        <v>4</v>
      </c>
      <c r="H98" t="s">
        <v>19</v>
      </c>
      <c r="I98" t="s">
        <v>14</v>
      </c>
      <c r="J98" t="s">
        <v>120</v>
      </c>
      <c r="K98">
        <v>35</v>
      </c>
      <c r="L98" t="s">
        <v>53</v>
      </c>
      <c r="M98" t="s">
        <v>248</v>
      </c>
    </row>
    <row r="99" spans="1:13" x14ac:dyDescent="0.3">
      <c r="A99" s="1">
        <v>79</v>
      </c>
      <c r="B99" s="1" t="s">
        <v>227</v>
      </c>
      <c r="C99" s="1" t="s">
        <v>228</v>
      </c>
      <c r="D99">
        <v>98</v>
      </c>
      <c r="E99" s="3">
        <v>42830</v>
      </c>
      <c r="F99">
        <f t="shared" si="1"/>
        <v>4</v>
      </c>
      <c r="H99" t="s">
        <v>13</v>
      </c>
      <c r="I99" t="s">
        <v>14</v>
      </c>
      <c r="J99" t="s">
        <v>15</v>
      </c>
      <c r="K99">
        <v>37</v>
      </c>
      <c r="L99" t="s">
        <v>53</v>
      </c>
      <c r="M99" t="s">
        <v>248</v>
      </c>
    </row>
    <row r="100" spans="1:13" x14ac:dyDescent="0.3">
      <c r="A100" s="1">
        <v>80</v>
      </c>
      <c r="B100" s="1" t="s">
        <v>229</v>
      </c>
      <c r="C100" s="1" t="s">
        <v>230</v>
      </c>
      <c r="D100">
        <v>99</v>
      </c>
      <c r="E100" s="3">
        <v>42873</v>
      </c>
      <c r="F100">
        <f t="shared" si="1"/>
        <v>5</v>
      </c>
      <c r="H100" t="s">
        <v>13</v>
      </c>
      <c r="I100" t="s">
        <v>14</v>
      </c>
      <c r="J100" t="s">
        <v>15</v>
      </c>
      <c r="K100">
        <v>32</v>
      </c>
      <c r="L100" t="s">
        <v>16</v>
      </c>
      <c r="M100" t="s">
        <v>248</v>
      </c>
    </row>
    <row r="101" spans="1:13" x14ac:dyDescent="0.3">
      <c r="A101" s="1">
        <v>42</v>
      </c>
      <c r="B101" s="1" t="s">
        <v>231</v>
      </c>
      <c r="C101" s="1" t="s">
        <v>232</v>
      </c>
      <c r="D101">
        <v>100</v>
      </c>
      <c r="E101" s="3">
        <v>42919</v>
      </c>
      <c r="F101">
        <f t="shared" si="1"/>
        <v>7</v>
      </c>
      <c r="H101" t="s">
        <v>13</v>
      </c>
      <c r="I101" t="s">
        <v>14</v>
      </c>
      <c r="J101" t="s">
        <v>15</v>
      </c>
      <c r="K101">
        <v>55</v>
      </c>
      <c r="L101" t="s">
        <v>53</v>
      </c>
      <c r="M101" t="s">
        <v>248</v>
      </c>
    </row>
    <row r="102" spans="1:13" x14ac:dyDescent="0.3">
      <c r="A102" s="1">
        <v>43</v>
      </c>
      <c r="B102" s="1" t="s">
        <v>233</v>
      </c>
      <c r="C102" s="1" t="s">
        <v>234</v>
      </c>
      <c r="D102">
        <v>101</v>
      </c>
      <c r="E102" s="3">
        <v>43073</v>
      </c>
      <c r="F102">
        <f t="shared" si="1"/>
        <v>12</v>
      </c>
      <c r="H102" t="s">
        <v>19</v>
      </c>
      <c r="I102" t="s">
        <v>23</v>
      </c>
      <c r="J102" t="s">
        <v>24</v>
      </c>
      <c r="K102">
        <v>18</v>
      </c>
      <c r="L102" t="s">
        <v>53</v>
      </c>
      <c r="M102" t="s">
        <v>248</v>
      </c>
    </row>
    <row r="103" spans="1:13" x14ac:dyDescent="0.3">
      <c r="A103" s="1">
        <v>5</v>
      </c>
      <c r="B103" s="1" t="s">
        <v>235</v>
      </c>
      <c r="C103" s="1" t="s">
        <v>236</v>
      </c>
      <c r="D103">
        <v>102</v>
      </c>
      <c r="E103" s="3">
        <v>42922</v>
      </c>
      <c r="F103">
        <f t="shared" si="1"/>
        <v>7</v>
      </c>
      <c r="H103" t="s">
        <v>13</v>
      </c>
      <c r="I103" t="s">
        <v>14</v>
      </c>
      <c r="J103" t="s">
        <v>15</v>
      </c>
      <c r="K103">
        <v>35</v>
      </c>
      <c r="L103" t="s">
        <v>53</v>
      </c>
      <c r="M103" t="s">
        <v>248</v>
      </c>
    </row>
    <row r="104" spans="1:13" x14ac:dyDescent="0.3">
      <c r="A104" s="1">
        <v>21</v>
      </c>
      <c r="B104" s="1" t="s">
        <v>237</v>
      </c>
      <c r="C104" s="1" t="s">
        <v>238</v>
      </c>
      <c r="D104">
        <v>103</v>
      </c>
      <c r="E104" s="3">
        <v>42833</v>
      </c>
      <c r="F104">
        <f t="shared" si="1"/>
        <v>4</v>
      </c>
      <c r="H104" t="s">
        <v>13</v>
      </c>
      <c r="I104" t="s">
        <v>14</v>
      </c>
      <c r="J104" t="s">
        <v>15</v>
      </c>
      <c r="K104">
        <v>50</v>
      </c>
      <c r="L104" t="s">
        <v>16</v>
      </c>
      <c r="M104" t="s">
        <v>248</v>
      </c>
    </row>
    <row r="105" spans="1:13" x14ac:dyDescent="0.3">
      <c r="A105" s="1">
        <v>17</v>
      </c>
      <c r="B105" s="1" t="s">
        <v>239</v>
      </c>
      <c r="C105" s="1" t="s">
        <v>240</v>
      </c>
      <c r="D105">
        <v>104</v>
      </c>
      <c r="E105" s="3">
        <v>42977</v>
      </c>
      <c r="F105">
        <f t="shared" si="1"/>
        <v>8</v>
      </c>
      <c r="H105" t="s">
        <v>13</v>
      </c>
      <c r="I105" t="s">
        <v>14</v>
      </c>
      <c r="J105" t="s">
        <v>15</v>
      </c>
      <c r="K105">
        <v>30</v>
      </c>
      <c r="L105" t="s">
        <v>16</v>
      </c>
      <c r="M105" t="s">
        <v>248</v>
      </c>
    </row>
    <row r="106" spans="1:13" x14ac:dyDescent="0.3">
      <c r="A106" s="1">
        <v>10</v>
      </c>
      <c r="B106" s="1" t="s">
        <v>241</v>
      </c>
      <c r="C106" s="1" t="s">
        <v>242</v>
      </c>
      <c r="D106">
        <v>105</v>
      </c>
      <c r="E106" s="3">
        <v>42833</v>
      </c>
      <c r="F106">
        <f t="shared" si="1"/>
        <v>4</v>
      </c>
      <c r="H106" t="s">
        <v>13</v>
      </c>
      <c r="I106" t="s">
        <v>44</v>
      </c>
      <c r="J106" t="s">
        <v>91</v>
      </c>
      <c r="K106">
        <v>69</v>
      </c>
      <c r="L106" t="s">
        <v>16</v>
      </c>
      <c r="M106" t="s">
        <v>248</v>
      </c>
    </row>
    <row r="107" spans="1:13" x14ac:dyDescent="0.3">
      <c r="A107" s="1">
        <v>23</v>
      </c>
      <c r="B107" s="1" t="s">
        <v>243</v>
      </c>
      <c r="C107" s="1" t="s">
        <v>244</v>
      </c>
      <c r="D107">
        <v>106</v>
      </c>
      <c r="E107" s="3">
        <v>42833</v>
      </c>
      <c r="F107">
        <f t="shared" si="1"/>
        <v>4</v>
      </c>
      <c r="H107" t="s">
        <v>13</v>
      </c>
      <c r="I107" t="s">
        <v>44</v>
      </c>
      <c r="J107" t="s">
        <v>91</v>
      </c>
      <c r="K107">
        <v>20</v>
      </c>
      <c r="L107" t="s">
        <v>16</v>
      </c>
      <c r="M107" t="s">
        <v>248</v>
      </c>
    </row>
    <row r="108" spans="1:13" x14ac:dyDescent="0.3">
      <c r="A108" s="4">
        <v>70</v>
      </c>
      <c r="B108" s="4" t="s">
        <v>245</v>
      </c>
      <c r="C108" s="4" t="s">
        <v>246</v>
      </c>
      <c r="D108" s="5">
        <v>107</v>
      </c>
      <c r="E108" s="6">
        <v>42879</v>
      </c>
      <c r="F108" s="5">
        <f t="shared" si="1"/>
        <v>5</v>
      </c>
      <c r="G108" s="5"/>
      <c r="H108" s="5" t="s">
        <v>19</v>
      </c>
      <c r="I108" s="5" t="s">
        <v>14</v>
      </c>
      <c r="J108" s="5" t="s">
        <v>15</v>
      </c>
      <c r="K108" s="5">
        <v>45</v>
      </c>
      <c r="L108" s="5" t="s">
        <v>16</v>
      </c>
      <c r="M108" s="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Adesola Olalekan</dc:creator>
  <cp:lastModifiedBy>Adesola Olalekan</cp:lastModifiedBy>
  <dcterms:created xsi:type="dcterms:W3CDTF">2026-06-02T20:27:55Z</dcterms:created>
  <dcterms:modified xsi:type="dcterms:W3CDTF">2026-06-02T20:36:04Z</dcterms:modified>
</cp:coreProperties>
</file>